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 - Marketing" sheetId="1" r:id="rId4"/>
    <sheet state="visible" name="KAM - NH " sheetId="2" r:id="rId5"/>
    <sheet state="visible" name="KAM - RH" sheetId="3" r:id="rId6"/>
    <sheet state="visible" name="KAM- SM" sheetId="4" r:id="rId7"/>
    <sheet state="visible" name="Closing -SL" sheetId="5" r:id="rId8"/>
    <sheet state="visible" name="Pre SD" sheetId="6" r:id="rId9"/>
    <sheet state="visible" name="PS - DM" sheetId="7" r:id="rId10"/>
    <sheet state="visible" name="PS - IG" sheetId="8" r:id="rId11"/>
    <sheet state="visible" name="PS - 3D" sheetId="9" r:id="rId12"/>
    <sheet state="visible" name="Developer  Modeller" sheetId="10" r:id="rId13"/>
    <sheet state="visible" name="BDM - Sales" sheetId="11" r:id="rId14"/>
    <sheet state="visible" name="Sales Support Mgr" sheetId="12" r:id="rId15"/>
    <sheet state="visible" name="MEP Sales" sheetId="13" r:id="rId16"/>
  </sheets>
  <definedNames/>
  <calcPr/>
  <extLst>
    <ext uri="GoogleSheetsCustomDataVersion2">
      <go:sheetsCustomData xmlns:go="http://customooxmlschemas.google.com/" r:id="rId17" roundtripDataChecksum="zrNYiUfIrYKfZrCJXqV7jREuZhDW3QJ9oJjjFogPTFE="/>
    </ext>
  </extLst>
</workbook>
</file>

<file path=xl/sharedStrings.xml><?xml version="1.0" encoding="utf-8"?>
<sst xmlns="http://schemas.openxmlformats.org/spreadsheetml/2006/main" count="232" uniqueCount="42">
  <si>
    <t>SME INCENTIVE CALCULATOR (Monthly)*</t>
  </si>
  <si>
    <t>Function</t>
  </si>
  <si>
    <t xml:space="preserve">Sourcing 		</t>
  </si>
  <si>
    <t>Designation</t>
  </si>
  <si>
    <t>Head - Marketing</t>
  </si>
  <si>
    <t>Month</t>
  </si>
  <si>
    <t>Project Name</t>
  </si>
  <si>
    <t>Project Value (INR)</t>
  </si>
  <si>
    <t>Monthly CF (INR)</t>
  </si>
  <si>
    <t>Actual Incentives (INR)</t>
  </si>
  <si>
    <t>Phi Capital</t>
  </si>
  <si>
    <t>Sub Total</t>
  </si>
  <si>
    <t>Incentives from VT - Regional Head</t>
  </si>
  <si>
    <t>Incentives from VT - BD Manager</t>
  </si>
  <si>
    <t>Total Monthly Incentives Payable (linked with Cash Flow)</t>
  </si>
  <si>
    <t>*Fill up the Project Value &amp; Monthly Cash Flow numbers to know your incentives for the month.</t>
  </si>
  <si>
    <t>RH &amp; Sourcing Function Incentives to be added</t>
  </si>
  <si>
    <t>Sourcing (KAM)</t>
  </si>
  <si>
    <t>National Head - Key Accounts</t>
  </si>
  <si>
    <t>Incentives from Regional Key Accounts</t>
  </si>
  <si>
    <t>Incentives from Sourcing</t>
  </si>
  <si>
    <t>VentureX</t>
  </si>
  <si>
    <t>Regional Head - Key Accounts</t>
  </si>
  <si>
    <t xml:space="preserve">Sourcing Manager - Key Accounts </t>
  </si>
  <si>
    <t>Closing</t>
  </si>
  <si>
    <t>Sales Leadership</t>
  </si>
  <si>
    <t xml:space="preserve">Pre Sale Design </t>
  </si>
  <si>
    <t>DGM/AGM Design</t>
  </si>
  <si>
    <t>Incentives from Design Manager</t>
  </si>
  <si>
    <t>Design Manager</t>
  </si>
  <si>
    <t xml:space="preserve">Interior Designer </t>
  </si>
  <si>
    <t xml:space="preserve">3D Design </t>
  </si>
  <si>
    <t>Developer / Modeller</t>
  </si>
  <si>
    <t xml:space="preserve">BDM Sales </t>
  </si>
  <si>
    <t>Nov &amp; Dec</t>
  </si>
  <si>
    <t>Serve Society</t>
  </si>
  <si>
    <t>Serve Society Pune</t>
  </si>
  <si>
    <t>Incentives from Other Sourcing</t>
  </si>
  <si>
    <t>Sahith - Nov</t>
  </si>
  <si>
    <t>Sahith - Dec</t>
  </si>
  <si>
    <t>Sales Support Mgr</t>
  </si>
  <si>
    <t>MEP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</si>
</sst>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b/>
      <sz val="11.0"/>
      <color theme="1"/>
      <name val="Arial"/>
    </font>
    <font/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12.0"/>
      <color theme="1"/>
      <name val="Arial"/>
    </font>
    <font>
      <b/>
      <sz val="12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A00"/>
        <bgColor rgb="FF00FA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CCCCCC"/>
        <bgColor rgb="FFCCCCCC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shrinkToFit="0" vertical="center" wrapText="1"/>
    </xf>
    <xf borderId="5" fillId="6" fontId="4" numFmtId="17" xfId="0" applyAlignment="1" applyBorder="1" applyFill="1" applyFont="1" applyNumberFormat="1">
      <alignment horizontal="center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4" fillId="0" fontId="5" numFmtId="3" xfId="0" applyAlignment="1" applyBorder="1" applyFont="1" applyNumberFormat="1">
      <alignment readingOrder="0" shrinkToFit="0" vertical="center" wrapText="1"/>
    </xf>
    <xf borderId="4" fillId="7" fontId="6" numFmtId="3" xfId="0" applyBorder="1" applyFill="1" applyFont="1" applyNumberFormat="1"/>
    <xf borderId="6" fillId="0" fontId="2" numFmtId="0" xfId="0" applyBorder="1" applyFont="1"/>
    <xf borderId="3" fillId="0" fontId="5" numFmtId="0" xfId="0" applyAlignment="1" applyBorder="1" applyFont="1">
      <alignment shrinkToFit="0" vertical="center" wrapText="1"/>
    </xf>
    <xf borderId="4" fillId="0" fontId="5" numFmtId="3" xfId="0" applyAlignment="1" applyBorder="1" applyFont="1" applyNumberForma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7" fillId="5" fontId="4" numFmtId="0" xfId="0" applyAlignment="1" applyBorder="1" applyFont="1">
      <alignment shrinkToFit="0" vertical="center" wrapText="1"/>
    </xf>
    <xf borderId="4" fillId="5" fontId="5" numFmtId="3" xfId="0" applyAlignment="1" applyBorder="1" applyFont="1" applyNumberFormat="1">
      <alignment shrinkToFit="0" vertical="center" wrapText="1"/>
    </xf>
    <xf borderId="4" fillId="0" fontId="6" numFmtId="3" xfId="0" applyBorder="1" applyFont="1" applyNumberFormat="1"/>
    <xf borderId="8" fillId="8" fontId="1" numFmtId="0" xfId="0" applyAlignment="1" applyBorder="1" applyFill="1" applyFont="1">
      <alignment horizontal="center" readingOrder="0" shrinkToFit="0" vertical="center" wrapText="1"/>
    </xf>
    <xf borderId="4" fillId="4" fontId="5" numFmtId="3" xfId="0" applyAlignment="1" applyBorder="1" applyFont="1" applyNumberForma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3" fontId="4" numFmtId="3" xfId="0" applyAlignment="1" applyBorder="1" applyFont="1" applyNumberFormat="1">
      <alignment shrinkToFit="0" vertical="center" wrapText="1"/>
    </xf>
    <xf borderId="7" fillId="8" fontId="4" numFmtId="0" xfId="0" applyAlignment="1" applyBorder="1" applyFont="1">
      <alignment shrinkToFit="0" vertical="center" wrapText="1"/>
    </xf>
    <xf borderId="4" fillId="8" fontId="5" numFmtId="3" xfId="0" applyAlignment="1" applyBorder="1" applyFont="1" applyNumberFormat="1">
      <alignment shrinkToFit="0" vertical="center" wrapText="1"/>
    </xf>
    <xf borderId="9" fillId="0" fontId="2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4" fillId="2" fontId="4" numFmtId="3" xfId="0" applyAlignment="1" applyBorder="1" applyFont="1" applyNumberFormat="1">
      <alignment shrinkToFit="0" vertical="center" wrapText="1"/>
    </xf>
    <xf borderId="10" fillId="3" fontId="4" numFmtId="0" xfId="0" applyAlignment="1" applyBorder="1" applyFont="1">
      <alignment horizontal="left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2" fontId="8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1" fillId="4" fontId="4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shrinkToFit="0" vertical="center" wrapText="1"/>
    </xf>
    <xf borderId="4" fillId="6" fontId="5" numFmtId="3" xfId="0" applyAlignment="1" applyBorder="1" applyFont="1" applyNumberFormat="1">
      <alignment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shrinkToFit="0" vertical="center" wrapText="1"/>
    </xf>
    <xf borderId="8" fillId="8" fontId="1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0" fillId="3" fontId="11" numFmtId="0" xfId="0" applyAlignment="1" applyBorder="1" applyFont="1">
      <alignment horizontal="left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0" fillId="3" fontId="4" numFmtId="0" xfId="0" applyAlignment="1" applyBorder="1" applyFont="1">
      <alignment horizontal="left" shrinkToFit="0" vertical="center" wrapText="1"/>
    </xf>
    <xf borderId="5" fillId="6" fontId="4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readingOrder="0" vertical="center"/>
    </xf>
    <xf borderId="4" fillId="7" fontId="1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6" t="s">
        <v>4</v>
      </c>
      <c r="C3" s="2"/>
      <c r="D3" s="2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5</v>
      </c>
      <c r="B4" s="8" t="s">
        <v>6</v>
      </c>
      <c r="C4" s="7" t="s">
        <v>7</v>
      </c>
      <c r="D4" s="7" t="s">
        <v>8</v>
      </c>
      <c r="E4" s="7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12">
        <f t="shared" ref="E5:E10" si="1">(D5*1.2%)*25%*20%</f>
        <v>2070.6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/>
      <c r="B6" s="14"/>
      <c r="C6" s="15"/>
      <c r="D6" s="15"/>
      <c r="E6" s="12">
        <f t="shared" si="1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6"/>
      <c r="C7" s="15"/>
      <c r="D7" s="15"/>
      <c r="E7" s="12">
        <f t="shared" si="1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/>
      <c r="B8" s="16"/>
      <c r="C8" s="15"/>
      <c r="D8" s="15"/>
      <c r="E8" s="12">
        <f t="shared" si="1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6"/>
      <c r="C9" s="15"/>
      <c r="D9" s="15"/>
      <c r="E9" s="12">
        <f t="shared" si="1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/>
      <c r="B10" s="16"/>
      <c r="C10" s="15"/>
      <c r="D10" s="15"/>
      <c r="E10" s="12">
        <f t="shared" si="1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/>
      <c r="B11" s="17" t="s">
        <v>11</v>
      </c>
      <c r="C11" s="18">
        <f t="shared" ref="C11:E11" si="2">SUM(C5:C10)</f>
        <v>8500000</v>
      </c>
      <c r="D11" s="18">
        <f t="shared" si="2"/>
        <v>3451000</v>
      </c>
      <c r="E11" s="19">
        <f t="shared" si="2"/>
        <v>2070.6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/>
      <c r="B12" s="20" t="s">
        <v>12</v>
      </c>
      <c r="C12" s="2"/>
      <c r="D12" s="2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/>
      <c r="B13" s="10" t="s">
        <v>10</v>
      </c>
      <c r="C13" s="11">
        <v>8500000.0</v>
      </c>
      <c r="D13" s="11">
        <v>3451000.0</v>
      </c>
      <c r="E13" s="21">
        <f t="shared" ref="E13:E18" si="3">(D13*1.2%)*20%*55%*70%</f>
        <v>3188.724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14"/>
      <c r="C14" s="22"/>
      <c r="D14" s="22"/>
      <c r="E14" s="21">
        <f t="shared" si="3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/>
      <c r="B15" s="14"/>
      <c r="C15" s="22"/>
      <c r="D15" s="22"/>
      <c r="E15" s="21">
        <f t="shared" si="3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/>
      <c r="B16" s="14"/>
      <c r="C16" s="22"/>
      <c r="D16" s="22"/>
      <c r="E16" s="21">
        <f t="shared" si="3"/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/>
      <c r="B17" s="14"/>
      <c r="C17" s="22"/>
      <c r="D17" s="22"/>
      <c r="E17" s="21">
        <f t="shared" si="3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14"/>
      <c r="C18" s="22"/>
      <c r="D18" s="22"/>
      <c r="E18" s="21">
        <f t="shared" si="3"/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17" t="s">
        <v>11</v>
      </c>
      <c r="C19" s="18">
        <f t="shared" ref="C19:D19" si="4">SUM(C12:C13)</f>
        <v>8500000</v>
      </c>
      <c r="D19" s="18">
        <f t="shared" si="4"/>
        <v>3451000</v>
      </c>
      <c r="E19" s="23">
        <f>SUM(E13:E18)</f>
        <v>3188.724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20" t="s">
        <v>13</v>
      </c>
      <c r="C20" s="2"/>
      <c r="D20" s="2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/>
      <c r="B21" s="10" t="s">
        <v>10</v>
      </c>
      <c r="C21" s="11">
        <v>8500000.0</v>
      </c>
      <c r="D21" s="11">
        <v>3451000.0</v>
      </c>
      <c r="E21" s="21">
        <f t="shared" ref="E21:E26" si="5">(D21*1.2%)*20%*55%*30%</f>
        <v>1366.596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/>
      <c r="B22" s="14"/>
      <c r="C22" s="22"/>
      <c r="D22" s="22"/>
      <c r="E22" s="21">
        <f t="shared" si="5"/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/>
      <c r="B23" s="14"/>
      <c r="C23" s="22"/>
      <c r="D23" s="22"/>
      <c r="E23" s="21">
        <f t="shared" si="5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/>
      <c r="B24" s="14"/>
      <c r="C24" s="22"/>
      <c r="D24" s="22"/>
      <c r="E24" s="21">
        <f t="shared" si="5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/>
      <c r="B25" s="14"/>
      <c r="C25" s="22"/>
      <c r="D25" s="22"/>
      <c r="E25" s="21">
        <f t="shared" si="5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/>
      <c r="B26" s="14"/>
      <c r="C26" s="22"/>
      <c r="D26" s="22"/>
      <c r="E26" s="21">
        <f t="shared" si="5"/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/>
      <c r="B27" s="24" t="s">
        <v>11</v>
      </c>
      <c r="C27" s="25">
        <f t="shared" ref="C27:D27" si="6">SUM(C13:C22)</f>
        <v>25500000</v>
      </c>
      <c r="D27" s="25">
        <f t="shared" si="6"/>
        <v>10353000</v>
      </c>
      <c r="E27" s="23">
        <f>SUM(E21:E26)</f>
        <v>1366.596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6"/>
      <c r="B28" s="27" t="s">
        <v>14</v>
      </c>
      <c r="C28" s="2"/>
      <c r="D28" s="3"/>
      <c r="E28" s="28">
        <f>E27+E19+E11</f>
        <v>6625.92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9" t="s">
        <v>15</v>
      </c>
      <c r="B29" s="30"/>
      <c r="C29" s="30"/>
      <c r="D29" s="30"/>
      <c r="E29" s="3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2"/>
      <c r="B30" s="33"/>
      <c r="C30" s="33"/>
      <c r="D30" s="33"/>
      <c r="E30" s="3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E1"/>
    <mergeCell ref="B2:E2"/>
    <mergeCell ref="B3:E3"/>
    <mergeCell ref="A5:A28"/>
    <mergeCell ref="B12:E12"/>
    <mergeCell ref="B20:E20"/>
    <mergeCell ref="B28:D28"/>
    <mergeCell ref="A29:E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5" t="s">
        <v>0</v>
      </c>
      <c r="B1" s="2"/>
      <c r="C1" s="2"/>
      <c r="D1" s="2"/>
      <c r="E1" s="3"/>
      <c r="G1" s="36" t="s">
        <v>16</v>
      </c>
    </row>
    <row r="2">
      <c r="A2" s="5" t="s">
        <v>1</v>
      </c>
      <c r="B2" s="37" t="s">
        <v>17</v>
      </c>
      <c r="C2" s="2"/>
      <c r="D2" s="2"/>
      <c r="E2" s="3"/>
    </row>
    <row r="3">
      <c r="A3" s="5" t="s">
        <v>3</v>
      </c>
      <c r="B3" s="6" t="s">
        <v>18</v>
      </c>
      <c r="C3" s="2"/>
      <c r="D3" s="2"/>
      <c r="E3" s="3"/>
    </row>
    <row r="4">
      <c r="A4" s="38" t="s">
        <v>5</v>
      </c>
      <c r="B4" s="39" t="s">
        <v>6</v>
      </c>
      <c r="C4" s="38" t="s">
        <v>7</v>
      </c>
      <c r="D4" s="38" t="s">
        <v>8</v>
      </c>
      <c r="E4" s="38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 t="shared" ref="E5:E9" si="1">(D5*1.2%)*20%*30%</f>
        <v>2484.72</v>
      </c>
    </row>
    <row r="6">
      <c r="A6" s="13"/>
      <c r="B6" s="14"/>
      <c r="C6" s="15"/>
      <c r="D6" s="15"/>
      <c r="E6" s="40">
        <f t="shared" si="1"/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/>
    </row>
    <row r="11">
      <c r="A11" s="13"/>
      <c r="B11" s="17" t="s">
        <v>11</v>
      </c>
      <c r="C11" s="18">
        <f t="shared" ref="C11:E11" si="2">SUM(C5:C10)</f>
        <v>8500000</v>
      </c>
      <c r="D11" s="18">
        <f t="shared" si="2"/>
        <v>3451000</v>
      </c>
      <c r="E11" s="23">
        <f t="shared" si="2"/>
        <v>2484.72</v>
      </c>
    </row>
    <row r="12">
      <c r="A12" s="13"/>
      <c r="B12" s="41" t="s">
        <v>19</v>
      </c>
      <c r="C12" s="2"/>
      <c r="D12" s="2"/>
      <c r="E12" s="3"/>
    </row>
    <row r="13">
      <c r="A13" s="13"/>
      <c r="B13" s="39" t="s">
        <v>6</v>
      </c>
      <c r="C13" s="38" t="s">
        <v>7</v>
      </c>
      <c r="D13" s="38" t="s">
        <v>8</v>
      </c>
      <c r="E13" s="38" t="s">
        <v>9</v>
      </c>
    </row>
    <row r="14">
      <c r="A14" s="13"/>
      <c r="B14" s="10" t="s">
        <v>10</v>
      </c>
      <c r="C14" s="11">
        <v>8500000.0</v>
      </c>
      <c r="D14" s="11">
        <v>3451000.0</v>
      </c>
      <c r="E14" s="40">
        <f t="shared" ref="E14:E19" si="3">(D14*1.2%)*20%*45%</f>
        <v>3727.08</v>
      </c>
    </row>
    <row r="15">
      <c r="A15" s="13"/>
      <c r="B15" s="42"/>
      <c r="C15" s="15"/>
      <c r="D15" s="15"/>
      <c r="E15" s="40">
        <f t="shared" si="3"/>
        <v>0</v>
      </c>
    </row>
    <row r="16">
      <c r="A16" s="13"/>
      <c r="B16" s="42"/>
      <c r="C16" s="15"/>
      <c r="D16" s="15"/>
      <c r="E16" s="40">
        <f t="shared" si="3"/>
        <v>0</v>
      </c>
    </row>
    <row r="17">
      <c r="A17" s="13"/>
      <c r="B17" s="42"/>
      <c r="C17" s="15"/>
      <c r="D17" s="15"/>
      <c r="E17" s="40">
        <f t="shared" si="3"/>
        <v>0</v>
      </c>
    </row>
    <row r="18">
      <c r="A18" s="13"/>
      <c r="B18" s="42"/>
      <c r="C18" s="15"/>
      <c r="D18" s="15"/>
      <c r="E18" s="40">
        <f t="shared" si="3"/>
        <v>0</v>
      </c>
    </row>
    <row r="19">
      <c r="A19" s="13"/>
      <c r="B19" s="42"/>
      <c r="C19" s="15"/>
      <c r="D19" s="15"/>
      <c r="E19" s="40">
        <f t="shared" si="3"/>
        <v>0</v>
      </c>
    </row>
    <row r="20">
      <c r="A20" s="13"/>
      <c r="B20" s="17" t="s">
        <v>11</v>
      </c>
      <c r="C20" s="18">
        <f t="shared" ref="C20:E20" si="4">SUM(C12:C14)</f>
        <v>8500000</v>
      </c>
      <c r="D20" s="18">
        <f t="shared" si="4"/>
        <v>3451000</v>
      </c>
      <c r="E20" s="23">
        <f t="shared" si="4"/>
        <v>3727.08</v>
      </c>
    </row>
    <row r="21">
      <c r="A21" s="13"/>
      <c r="B21" s="43" t="s">
        <v>20</v>
      </c>
      <c r="C21" s="2"/>
      <c r="D21" s="2"/>
      <c r="E21" s="3"/>
    </row>
    <row r="22">
      <c r="A22" s="13"/>
      <c r="B22" s="14" t="s">
        <v>21</v>
      </c>
      <c r="C22" s="15">
        <v>4.1E7</v>
      </c>
      <c r="D22" s="15">
        <v>4009000.0</v>
      </c>
      <c r="E22" s="21">
        <f t="shared" ref="E22:E26" si="5">(D22*1.2%)*20%*25%</f>
        <v>2405.4</v>
      </c>
    </row>
    <row r="23">
      <c r="A23" s="13"/>
      <c r="B23" s="14"/>
      <c r="C23" s="22"/>
      <c r="D23" s="22"/>
      <c r="E23" s="21">
        <f t="shared" si="5"/>
        <v>0</v>
      </c>
    </row>
    <row r="24">
      <c r="A24" s="13"/>
      <c r="B24" s="14"/>
      <c r="C24" s="22"/>
      <c r="D24" s="22"/>
      <c r="E24" s="21">
        <f t="shared" si="5"/>
        <v>0</v>
      </c>
    </row>
    <row r="25">
      <c r="A25" s="13"/>
      <c r="B25" s="14"/>
      <c r="C25" s="22"/>
      <c r="D25" s="22"/>
      <c r="E25" s="21">
        <f t="shared" si="5"/>
        <v>0</v>
      </c>
    </row>
    <row r="26">
      <c r="A26" s="13"/>
      <c r="B26" s="14"/>
      <c r="C26" s="22"/>
      <c r="D26" s="22"/>
      <c r="E26" s="21">
        <f t="shared" si="5"/>
        <v>0</v>
      </c>
    </row>
    <row r="27">
      <c r="A27" s="13"/>
      <c r="B27" s="24" t="s">
        <v>11</v>
      </c>
      <c r="C27" s="25">
        <f t="shared" ref="C27:E27" si="6">SUM(C22:C26)</f>
        <v>41000000</v>
      </c>
      <c r="D27" s="25">
        <f t="shared" si="6"/>
        <v>4009000</v>
      </c>
      <c r="E27" s="23">
        <f t="shared" si="6"/>
        <v>2405.4</v>
      </c>
    </row>
    <row r="28">
      <c r="A28" s="26"/>
      <c r="B28" s="44" t="s">
        <v>14</v>
      </c>
      <c r="C28" s="2"/>
      <c r="D28" s="3"/>
      <c r="E28" s="28">
        <f>E20+E27</f>
        <v>6132.48</v>
      </c>
    </row>
    <row r="29">
      <c r="A29" s="45" t="s">
        <v>15</v>
      </c>
      <c r="B29" s="30"/>
      <c r="C29" s="30"/>
      <c r="D29" s="30"/>
      <c r="E29" s="31"/>
    </row>
    <row r="30">
      <c r="A30" s="32"/>
      <c r="B30" s="33"/>
      <c r="C30" s="33"/>
      <c r="D30" s="33"/>
      <c r="E30" s="34"/>
    </row>
  </sheetData>
  <mergeCells count="8">
    <mergeCell ref="A1:E1"/>
    <mergeCell ref="B2:E2"/>
    <mergeCell ref="B3:E3"/>
    <mergeCell ref="A5:A28"/>
    <mergeCell ref="B12:E12"/>
    <mergeCell ref="B21:E21"/>
    <mergeCell ref="B28:D28"/>
    <mergeCell ref="A29:E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18.33"/>
    <col customWidth="1" min="3" max="4" width="10.67"/>
    <col customWidth="1" min="5" max="5" width="14.33"/>
    <col customWidth="1" min="6" max="6" width="10.78"/>
    <col customWidth="1" min="7" max="26" width="10.56"/>
  </cols>
  <sheetData>
    <row r="1">
      <c r="A1" s="35" t="s">
        <v>0</v>
      </c>
      <c r="B1" s="2"/>
      <c r="C1" s="2"/>
      <c r="D1" s="2"/>
      <c r="E1" s="3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5" t="s">
        <v>1</v>
      </c>
      <c r="B2" s="37" t="s">
        <v>17</v>
      </c>
      <c r="C2" s="2"/>
      <c r="D2" s="2"/>
      <c r="E2" s="3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5" t="s">
        <v>3</v>
      </c>
      <c r="B3" s="37" t="s">
        <v>22</v>
      </c>
      <c r="C3" s="2"/>
      <c r="D3" s="2"/>
      <c r="E3" s="3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38" t="s">
        <v>5</v>
      </c>
      <c r="B4" s="39" t="s">
        <v>6</v>
      </c>
      <c r="C4" s="38" t="s">
        <v>7</v>
      </c>
      <c r="D4" s="38" t="s">
        <v>8</v>
      </c>
      <c r="E4" s="38" t="s">
        <v>9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 t="shared" ref="E5:E14" si="1">(D5*1.2%)*20%*45%</f>
        <v>3727.08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13"/>
      <c r="B6" s="14"/>
      <c r="C6" s="15"/>
      <c r="D6" s="15"/>
      <c r="E6" s="40">
        <f t="shared" si="1"/>
        <v>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13"/>
      <c r="B7" s="16"/>
      <c r="C7" s="15"/>
      <c r="D7" s="15"/>
      <c r="E7" s="40">
        <f t="shared" si="1"/>
        <v>0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13"/>
      <c r="B8" s="16"/>
      <c r="C8" s="15"/>
      <c r="D8" s="15"/>
      <c r="E8" s="40">
        <f t="shared" si="1"/>
        <v>0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13"/>
      <c r="B9" s="16"/>
      <c r="C9" s="15"/>
      <c r="D9" s="15"/>
      <c r="E9" s="40">
        <f t="shared" si="1"/>
        <v>0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13"/>
      <c r="B10" s="16"/>
      <c r="C10" s="15"/>
      <c r="D10" s="15"/>
      <c r="E10" s="40">
        <f t="shared" si="1"/>
        <v>0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13"/>
      <c r="B11" s="16"/>
      <c r="C11" s="15"/>
      <c r="D11" s="15"/>
      <c r="E11" s="40">
        <f t="shared" si="1"/>
        <v>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13"/>
      <c r="B12" s="16"/>
      <c r="C12" s="11"/>
      <c r="D12" s="15"/>
      <c r="E12" s="40">
        <f t="shared" si="1"/>
        <v>0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13"/>
      <c r="B13" s="16"/>
      <c r="C13" s="15"/>
      <c r="D13" s="15"/>
      <c r="E13" s="40">
        <f t="shared" si="1"/>
        <v>0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13"/>
      <c r="B14" s="16"/>
      <c r="C14" s="15"/>
      <c r="D14" s="15"/>
      <c r="E14" s="40">
        <f t="shared" si="1"/>
        <v>0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13"/>
      <c r="B15" s="17" t="s">
        <v>11</v>
      </c>
      <c r="C15" s="18">
        <f t="shared" ref="C15:E15" si="2">SUM(C5:C14)</f>
        <v>8500000</v>
      </c>
      <c r="D15" s="18">
        <f t="shared" si="2"/>
        <v>3451000</v>
      </c>
      <c r="E15" s="23">
        <f t="shared" si="2"/>
        <v>3727.08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13"/>
      <c r="B16" s="43" t="s">
        <v>20</v>
      </c>
      <c r="C16" s="2"/>
      <c r="D16" s="2"/>
      <c r="E16" s="3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13"/>
      <c r="B17" s="14"/>
      <c r="C17" s="15"/>
      <c r="D17" s="15"/>
      <c r="E17" s="21">
        <f t="shared" ref="E17:E21" si="3">(D17*1.2%)*20%*25%</f>
        <v>0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13"/>
      <c r="B18" s="14"/>
      <c r="C18" s="22"/>
      <c r="D18" s="22"/>
      <c r="E18" s="21">
        <f t="shared" si="3"/>
        <v>0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13"/>
      <c r="B19" s="14"/>
      <c r="C19" s="22"/>
      <c r="D19" s="22"/>
      <c r="E19" s="21">
        <f t="shared" si="3"/>
        <v>0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13"/>
      <c r="B20" s="14"/>
      <c r="C20" s="22"/>
      <c r="D20" s="22"/>
      <c r="E20" s="21">
        <f t="shared" si="3"/>
        <v>0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75" customHeight="1">
      <c r="A21" s="13"/>
      <c r="B21" s="14"/>
      <c r="C21" s="22"/>
      <c r="D21" s="22"/>
      <c r="E21" s="21">
        <f t="shared" si="3"/>
        <v>0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5.75" customHeight="1">
      <c r="A22" s="13"/>
      <c r="B22" s="24" t="s">
        <v>11</v>
      </c>
      <c r="C22" s="25">
        <f t="shared" ref="C22:E22" si="4">SUM(C17:C21)</f>
        <v>0</v>
      </c>
      <c r="D22" s="25">
        <f t="shared" si="4"/>
        <v>0</v>
      </c>
      <c r="E22" s="23">
        <f t="shared" si="4"/>
        <v>0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5.75" customHeight="1">
      <c r="A23" s="26"/>
      <c r="B23" s="44" t="s">
        <v>14</v>
      </c>
      <c r="C23" s="2"/>
      <c r="D23" s="3"/>
      <c r="E23" s="28">
        <f>E15+E22</f>
        <v>3727.08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5.75" customHeight="1">
      <c r="A24" s="45" t="s">
        <v>15</v>
      </c>
      <c r="B24" s="30"/>
      <c r="C24" s="30"/>
      <c r="D24" s="30"/>
      <c r="E24" s="31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5.75" customHeight="1">
      <c r="A25" s="32"/>
      <c r="B25" s="33"/>
      <c r="C25" s="33"/>
      <c r="D25" s="33"/>
      <c r="E25" s="34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5.75" customHeight="1">
      <c r="A26" s="47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5.75" customHeight="1">
      <c r="A27" s="47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5.75" customHeight="1">
      <c r="A28" s="47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5.75" customHeight="1">
      <c r="A29" s="47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5.75" customHeight="1">
      <c r="A30" s="47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5.75" customHeight="1">
      <c r="A31" s="47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47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47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47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47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47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47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47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47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5.75" customHeight="1">
      <c r="A40" s="47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5.75" customHeight="1">
      <c r="A41" s="47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5.75" customHeight="1">
      <c r="A42" s="47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5.75" customHeight="1">
      <c r="A43" s="47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5.75" customHeight="1">
      <c r="A44" s="47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5.75" customHeight="1">
      <c r="A45" s="47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5.75" customHeight="1">
      <c r="A46" s="47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5.75" customHeight="1">
      <c r="A47" s="47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5.75" customHeight="1">
      <c r="A48" s="47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5.75" customHeight="1">
      <c r="A49" s="47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5.75" customHeight="1">
      <c r="A50" s="47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5.75" customHeight="1">
      <c r="A51" s="47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5.75" customHeight="1">
      <c r="A52" s="47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5.75" customHeight="1">
      <c r="A53" s="47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5.75" customHeight="1">
      <c r="A54" s="47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5.75" customHeight="1">
      <c r="A55" s="47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47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5.75" customHeight="1">
      <c r="A57" s="47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5.75" customHeight="1">
      <c r="A58" s="47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5.75" customHeight="1">
      <c r="A59" s="47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47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5.75" customHeight="1">
      <c r="A61" s="47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47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47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5.75" customHeight="1">
      <c r="A64" s="47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5.75" customHeight="1">
      <c r="A65" s="47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customHeight="1">
      <c r="A66" s="47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customHeight="1">
      <c r="A67" s="47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5.75" customHeight="1">
      <c r="A68" s="47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customHeight="1">
      <c r="A69" s="47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5.75" customHeight="1">
      <c r="A70" s="47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47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A72" s="47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47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47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47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47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47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47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47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47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47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47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47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47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A85" s="47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A86" s="47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A87" s="47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>
      <c r="A88" s="47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>
      <c r="A89" s="47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>
      <c r="A90" s="47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>
      <c r="A91" s="47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>
      <c r="A92" s="47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>
      <c r="A93" s="47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>
      <c r="A94" s="47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A95" s="47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>
      <c r="A96" s="47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>
      <c r="A97" s="47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>
      <c r="A98" s="47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>
      <c r="A99" s="47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>
      <c r="A100" s="47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>
      <c r="A101" s="47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>
      <c r="A102" s="47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>
      <c r="A103" s="47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>
      <c r="A104" s="47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>
      <c r="A105" s="47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5.75" customHeight="1">
      <c r="A106" s="47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5.75" customHeight="1">
      <c r="A107" s="47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5.75" customHeight="1">
      <c r="A108" s="47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5.75" customHeight="1">
      <c r="A109" s="47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>
      <c r="A110" s="47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5.75" customHeight="1">
      <c r="A111" s="47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5.75" customHeight="1">
      <c r="A112" s="47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5.75" customHeight="1">
      <c r="A113" s="47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5.75" customHeight="1">
      <c r="A114" s="47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5.75" customHeight="1">
      <c r="A115" s="47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5.75" customHeight="1">
      <c r="A116" s="47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5.75" customHeight="1">
      <c r="A117" s="47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5.75" customHeight="1">
      <c r="A118" s="47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5.75" customHeight="1">
      <c r="A119" s="47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5.75" customHeight="1">
      <c r="A120" s="47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5.75" customHeight="1">
      <c r="A121" s="47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5.75" customHeight="1">
      <c r="A122" s="47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5.75" customHeight="1">
      <c r="A123" s="47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5.75" customHeight="1">
      <c r="A124" s="47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5.75" customHeight="1">
      <c r="A125" s="47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5.75" customHeight="1">
      <c r="A126" s="47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5.75" customHeight="1">
      <c r="A127" s="47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5.75" customHeight="1">
      <c r="A128" s="47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5.75" customHeight="1">
      <c r="A129" s="47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5.75" customHeight="1">
      <c r="A130" s="47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5.75" customHeight="1">
      <c r="A131" s="47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5.75" customHeight="1">
      <c r="A132" s="47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5.75" customHeight="1">
      <c r="A133" s="47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5.75" customHeight="1">
      <c r="A134" s="47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5.75" customHeight="1">
      <c r="A135" s="47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5.75" customHeight="1">
      <c r="A136" s="47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>
      <c r="A137" s="47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5.75" customHeight="1">
      <c r="A138" s="47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5.75" customHeight="1">
      <c r="A139" s="47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>
      <c r="A140" s="47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5.75" customHeight="1">
      <c r="A141" s="47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5.75" customHeight="1">
      <c r="A142" s="47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5.75" customHeight="1">
      <c r="A143" s="47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5.75" customHeight="1">
      <c r="A144" s="47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5.75" customHeight="1">
      <c r="A145" s="47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5.75" customHeight="1">
      <c r="A146" s="47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5.75" customHeight="1">
      <c r="A147" s="47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5.75" customHeight="1">
      <c r="A148" s="47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5.75" customHeight="1">
      <c r="A149" s="47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5.75" customHeight="1">
      <c r="A150" s="47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5.75" customHeight="1">
      <c r="A151" s="47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5.75" customHeight="1">
      <c r="A152" s="47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5.75" customHeight="1">
      <c r="A153" s="47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5.75" customHeight="1">
      <c r="A154" s="47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5.75" customHeight="1">
      <c r="A155" s="47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5.75" customHeight="1">
      <c r="A156" s="47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5.75" customHeight="1">
      <c r="A157" s="47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5.75" customHeight="1">
      <c r="A158" s="47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5.75" customHeight="1">
      <c r="A159" s="47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5.75" customHeight="1">
      <c r="A160" s="47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5.75" customHeight="1">
      <c r="A161" s="47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>
      <c r="A162" s="47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5.75" customHeight="1">
      <c r="A163" s="47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5.75" customHeight="1">
      <c r="A164" s="47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5.75" customHeight="1">
      <c r="A165" s="47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5.75" customHeight="1">
      <c r="A166" s="47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5.75" customHeight="1">
      <c r="A167" s="47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5.75" customHeight="1">
      <c r="A168" s="47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5.75" customHeight="1">
      <c r="A169" s="47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5.75" customHeight="1">
      <c r="A170" s="47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5.75" customHeight="1">
      <c r="A171" s="47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5.75" customHeight="1">
      <c r="A172" s="47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5.75" customHeight="1">
      <c r="A173" s="47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5.75" customHeight="1">
      <c r="A174" s="47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5.75" customHeight="1">
      <c r="A175" s="47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5.75" customHeight="1">
      <c r="A176" s="47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5.75" customHeight="1">
      <c r="A177" s="47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5.75" customHeight="1">
      <c r="A178" s="47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5.75" customHeight="1">
      <c r="A179" s="47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5.75" customHeight="1">
      <c r="A180" s="47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5.75" customHeight="1">
      <c r="A181" s="47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5.75" customHeight="1">
      <c r="A182" s="47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5.75" customHeight="1">
      <c r="A183" s="47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5.75" customHeight="1">
      <c r="A184" s="47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5.75" customHeight="1">
      <c r="A185" s="47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5.75" customHeight="1">
      <c r="A186" s="47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5.75" customHeight="1">
      <c r="A187" s="47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5.75" customHeight="1">
      <c r="A188" s="47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5.75" customHeight="1">
      <c r="A189" s="47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5.75" customHeight="1">
      <c r="A190" s="47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5.75" customHeight="1">
      <c r="A191" s="47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5.75" customHeight="1">
      <c r="A192" s="47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5.75" customHeight="1">
      <c r="A193" s="47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5.75" customHeight="1">
      <c r="A194" s="47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5.75" customHeight="1">
      <c r="A195" s="47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5.75" customHeight="1">
      <c r="A196" s="47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5.75" customHeight="1">
      <c r="A197" s="47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5.75" customHeight="1">
      <c r="A198" s="47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5.75" customHeight="1">
      <c r="A199" s="47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5.75" customHeight="1">
      <c r="A200" s="47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5.75" customHeight="1">
      <c r="A201" s="47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5.75" customHeight="1">
      <c r="A202" s="47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5.75" customHeight="1">
      <c r="A203" s="47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5.75" customHeight="1">
      <c r="A204" s="47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5.75" customHeight="1">
      <c r="A205" s="47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5.75" customHeight="1">
      <c r="A206" s="47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5.75" customHeight="1">
      <c r="A207" s="47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5.75" customHeight="1">
      <c r="A208" s="47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5.75" customHeight="1">
      <c r="A209" s="47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5.75" customHeight="1">
      <c r="A210" s="47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5.75" customHeight="1">
      <c r="A211" s="47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5.75" customHeight="1">
      <c r="A212" s="47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5.75" customHeight="1">
      <c r="A213" s="47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5.75" customHeight="1">
      <c r="A214" s="47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5.75" customHeight="1">
      <c r="A215" s="47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5.75" customHeight="1">
      <c r="A216" s="47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5.75" customHeight="1">
      <c r="A217" s="47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5.75" customHeight="1">
      <c r="A218" s="47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>
      <c r="A219" s="47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>
      <c r="A220" s="47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>
      <c r="A221" s="47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5.75" customHeight="1">
      <c r="A222" s="47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>
      <c r="A223" s="47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>
      <c r="A224" s="47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>
      <c r="A225" s="47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>
      <c r="A226" s="47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>
      <c r="A227" s="47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>
      <c r="A228" s="47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>
      <c r="A229" s="47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>
      <c r="A230" s="47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>
      <c r="A231" s="47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A232" s="47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>
      <c r="A233" s="47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>
      <c r="A234" s="47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>
      <c r="A235" s="47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>
      <c r="A236" s="47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>
      <c r="A237" s="47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>
      <c r="A238" s="47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>
      <c r="A239" s="47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>
      <c r="A240" s="47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>
      <c r="A241" s="47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>
      <c r="A242" s="47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>
      <c r="A243" s="47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>
      <c r="A244" s="47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>
      <c r="A245" s="47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>
      <c r="A246" s="47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>
      <c r="A247" s="47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>
      <c r="A248" s="47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>
      <c r="A249" s="47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>
      <c r="A250" s="47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>
      <c r="A251" s="47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>
      <c r="A252" s="47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>
      <c r="A253" s="47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>
      <c r="A254" s="47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>
      <c r="A255" s="47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>
      <c r="A256" s="47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>
      <c r="A257" s="47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>
      <c r="A258" s="47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>
      <c r="A259" s="47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>
      <c r="A260" s="47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>
      <c r="A261" s="47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>
      <c r="A262" s="47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>
      <c r="A263" s="47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A264" s="47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>
      <c r="A265" s="47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>
      <c r="A266" s="47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>
      <c r="A267" s="47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>
      <c r="A268" s="47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>
      <c r="A269" s="47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>
      <c r="A270" s="47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>
      <c r="A271" s="47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>
      <c r="A272" s="47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>
      <c r="A273" s="47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>
      <c r="A274" s="47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>
      <c r="A275" s="47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>
      <c r="A276" s="47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>
      <c r="A277" s="47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>
      <c r="A278" s="47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>
      <c r="A279" s="47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>
      <c r="A280" s="47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>
      <c r="A281" s="47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>
      <c r="A282" s="47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>
      <c r="A283" s="47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>
      <c r="A284" s="47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>
      <c r="A285" s="47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>
      <c r="A286" s="47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>
      <c r="A287" s="47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>
      <c r="A288" s="47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>
      <c r="A289" s="47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>
      <c r="A290" s="47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5.75" customHeight="1">
      <c r="A291" s="47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5.75" customHeight="1">
      <c r="A292" s="47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5.75" customHeight="1">
      <c r="A293" s="47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5.75" customHeight="1">
      <c r="A294" s="47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5.75" customHeight="1">
      <c r="A295" s="47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5.75" customHeight="1">
      <c r="A296" s="47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5.75" customHeight="1">
      <c r="A297" s="47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5.75" customHeight="1">
      <c r="A298" s="47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5.75" customHeight="1">
      <c r="A299" s="47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5.75" customHeight="1">
      <c r="A300" s="47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5.75" customHeight="1">
      <c r="A301" s="47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5.75" customHeight="1">
      <c r="A302" s="47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5.75" customHeight="1">
      <c r="A303" s="47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5.75" customHeight="1">
      <c r="A304" s="47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5.75" customHeight="1">
      <c r="A305" s="47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5.75" customHeight="1">
      <c r="A306" s="47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5.75" customHeight="1">
      <c r="A307" s="47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5.75" customHeight="1">
      <c r="A308" s="47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5.75" customHeight="1">
      <c r="A309" s="47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5.75" customHeight="1">
      <c r="A310" s="47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5.75" customHeight="1">
      <c r="A311" s="47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5.75" customHeight="1">
      <c r="A312" s="47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5.75" customHeight="1">
      <c r="A313" s="47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5.75" customHeight="1">
      <c r="A314" s="47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5.75" customHeight="1">
      <c r="A315" s="47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5.75" customHeight="1">
      <c r="A316" s="47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5.75" customHeight="1">
      <c r="A317" s="47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5.75" customHeight="1">
      <c r="A318" s="47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5.75" customHeight="1">
      <c r="A319" s="47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5.75" customHeight="1">
      <c r="A320" s="47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5.75" customHeight="1">
      <c r="A321" s="47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5.75" customHeight="1">
      <c r="A322" s="47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5.75" customHeight="1">
      <c r="A323" s="47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5.75" customHeight="1">
      <c r="A324" s="47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5.75" customHeight="1">
      <c r="A325" s="47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5.75" customHeight="1">
      <c r="A326" s="47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5.75" customHeight="1">
      <c r="A327" s="47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5.75" customHeight="1">
      <c r="A328" s="47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5.75" customHeight="1">
      <c r="A329" s="47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5.75" customHeight="1">
      <c r="A330" s="47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5.75" customHeight="1">
      <c r="A331" s="47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5.75" customHeight="1">
      <c r="A332" s="47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5.75" customHeight="1">
      <c r="A333" s="47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5.75" customHeight="1">
      <c r="A334" s="47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5.75" customHeight="1">
      <c r="A335" s="47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5.75" customHeight="1">
      <c r="A336" s="47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5.75" customHeight="1">
      <c r="A337" s="47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5.75" customHeight="1">
      <c r="A338" s="47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5.75" customHeight="1">
      <c r="A339" s="47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5.75" customHeight="1">
      <c r="A340" s="47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5.75" customHeight="1">
      <c r="A341" s="47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5.75" customHeight="1">
      <c r="A342" s="47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5.75" customHeight="1">
      <c r="A343" s="47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5.75" customHeight="1">
      <c r="A344" s="47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5.75" customHeight="1">
      <c r="A345" s="47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5.75" customHeight="1">
      <c r="A346" s="47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5.75" customHeight="1">
      <c r="A347" s="47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5.75" customHeight="1">
      <c r="A348" s="47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5.75" customHeight="1">
      <c r="A349" s="47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5.75" customHeight="1">
      <c r="A350" s="47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5.75" customHeight="1">
      <c r="A351" s="47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5.75" customHeight="1">
      <c r="A352" s="47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5.75" customHeight="1">
      <c r="A353" s="47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5.75" customHeight="1">
      <c r="A354" s="47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5.75" customHeight="1">
      <c r="A355" s="47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5.75" customHeight="1">
      <c r="A356" s="47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5.75" customHeight="1">
      <c r="A357" s="47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5.75" customHeight="1">
      <c r="A358" s="47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5.75" customHeight="1">
      <c r="A359" s="47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5.75" customHeight="1">
      <c r="A360" s="47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5.75" customHeight="1">
      <c r="A361" s="47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5.75" customHeight="1">
      <c r="A362" s="47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5.75" customHeight="1">
      <c r="A363" s="47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5.75" customHeight="1">
      <c r="A364" s="47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5.75" customHeight="1">
      <c r="A365" s="47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5.75" customHeight="1">
      <c r="A366" s="47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5.75" customHeight="1">
      <c r="A367" s="47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5.75" customHeight="1">
      <c r="A368" s="47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5.75" customHeight="1">
      <c r="A369" s="47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5.75" customHeight="1">
      <c r="A370" s="47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5.75" customHeight="1">
      <c r="A371" s="47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5.75" customHeight="1">
      <c r="A372" s="47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5.75" customHeight="1">
      <c r="A373" s="47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5.75" customHeight="1">
      <c r="A374" s="47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5.75" customHeight="1">
      <c r="A375" s="47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5.75" customHeight="1">
      <c r="A376" s="47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5.75" customHeight="1">
      <c r="A377" s="47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5.75" customHeight="1">
      <c r="A378" s="47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5.75" customHeight="1">
      <c r="A379" s="47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5.75" customHeight="1">
      <c r="A380" s="47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5.75" customHeight="1">
      <c r="A381" s="47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5.75" customHeight="1">
      <c r="A382" s="47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5.75" customHeight="1">
      <c r="A383" s="47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5.75" customHeight="1">
      <c r="A384" s="47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5.75" customHeight="1">
      <c r="A385" s="47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5.75" customHeight="1">
      <c r="A386" s="47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5.75" customHeight="1">
      <c r="A387" s="47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5.75" customHeight="1">
      <c r="A388" s="47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5.75" customHeight="1">
      <c r="A389" s="47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A390" s="47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47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47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47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47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47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47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47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47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47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47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47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47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47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47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47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47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47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47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47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47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47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47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47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47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47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47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47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47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47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47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47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47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47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47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47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47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47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47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47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47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47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47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47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47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47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47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47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47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47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47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47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47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47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47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47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47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47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47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47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47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47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47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47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47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47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47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47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47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47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47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47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47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47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47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47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47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47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47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47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47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47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47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47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47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47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47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47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47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47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47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47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47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47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47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47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47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47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47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47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47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47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47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47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47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47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47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47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47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47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47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47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47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47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47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47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47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47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47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47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47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47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47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47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47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47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47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47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47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47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47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47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47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47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47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47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47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47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47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47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47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47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47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47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47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47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47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47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47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47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47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47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47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47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47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47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47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47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47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47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47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47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47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47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47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47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47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47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47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47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47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47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47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47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47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47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47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47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47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47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47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47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47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47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47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47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47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47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47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47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47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47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47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47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47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47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47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47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47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47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47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47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47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47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47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47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47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47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47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47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47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47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47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47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47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47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47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47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47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47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47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47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47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47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47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47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47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47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47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47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47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47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47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47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47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47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47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47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47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47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47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47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47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47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47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47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47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47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47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47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47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47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47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47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47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47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47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47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47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47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47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47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47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47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47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47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47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47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47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47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47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47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47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47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47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47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47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47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47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47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47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47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47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47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47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47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47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47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47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47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47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47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47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47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47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47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47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47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47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47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47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47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47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47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47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47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47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47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47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47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47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47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47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47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47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47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47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47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47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47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47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47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47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47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47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47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47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47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47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47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47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47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47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47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47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47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47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47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47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47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47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47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47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47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47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47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47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47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47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47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47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47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47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47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47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47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47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47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47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47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47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47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47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47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47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47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47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47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47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47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47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47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47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47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47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47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47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47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47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47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47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47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47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47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47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47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47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47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47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47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47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47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47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47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47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47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47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47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47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47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47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47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47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47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47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47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47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47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47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47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47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47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47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47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47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47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47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47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47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47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47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47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47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47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47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47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47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47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47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47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47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47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47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47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47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47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47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47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47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47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47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47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47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47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47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47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47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47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47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47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47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47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47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47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47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47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47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47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47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47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47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47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47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47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47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47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47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47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47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47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47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47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47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47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47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47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47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47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47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47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47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47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47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47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47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47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47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47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47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47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47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47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47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47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47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47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47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47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47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47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47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47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47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47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47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47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47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47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47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47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47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47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47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47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47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47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47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47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47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47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47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47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47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47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47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47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47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47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47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47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47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47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47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47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47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47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47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47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47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47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47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47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47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47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47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47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47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47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47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47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47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47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47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47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47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47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47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47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47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47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47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47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47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47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47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47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47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47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47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A959" s="47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A960" s="47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A961" s="47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A962" s="47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A963" s="47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A964" s="47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A965" s="47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A966" s="47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A967" s="47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A968" s="47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A969" s="47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A970" s="47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A971" s="47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A972" s="47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A973" s="47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A974" s="47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A975" s="47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A976" s="47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A977" s="47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A978" s="47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A979" s="47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A980" s="47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A981" s="47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A982" s="47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A983" s="47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A984" s="47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A985" s="47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A986" s="47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A987" s="47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A988" s="47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A989" s="47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A990" s="47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A991" s="47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5.75" customHeight="1">
      <c r="A992" s="47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5.75" customHeight="1">
      <c r="A993" s="47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5.75" customHeight="1">
      <c r="A994" s="47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5.75" customHeight="1">
      <c r="A995" s="47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5.75" customHeight="1">
      <c r="A996" s="47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5.75" customHeight="1">
      <c r="A997" s="47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5.75" customHeight="1">
      <c r="A998" s="47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5.75" customHeight="1">
      <c r="A999" s="47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5.75" customHeight="1">
      <c r="A1000" s="47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7">
    <mergeCell ref="A1:E1"/>
    <mergeCell ref="B2:E2"/>
    <mergeCell ref="B3:E3"/>
    <mergeCell ref="A5:A23"/>
    <mergeCell ref="B16:E16"/>
    <mergeCell ref="B23:D23"/>
    <mergeCell ref="A24:E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5" t="s">
        <v>0</v>
      </c>
      <c r="B1" s="2"/>
      <c r="C1" s="2"/>
      <c r="D1" s="2"/>
      <c r="E1" s="3"/>
    </row>
    <row r="2">
      <c r="A2" s="5" t="s">
        <v>1</v>
      </c>
      <c r="B2" s="37" t="s">
        <v>17</v>
      </c>
      <c r="C2" s="2"/>
      <c r="D2" s="2"/>
      <c r="E2" s="3"/>
    </row>
    <row r="3">
      <c r="A3" s="5" t="s">
        <v>3</v>
      </c>
      <c r="B3" s="6" t="s">
        <v>23</v>
      </c>
      <c r="C3" s="2"/>
      <c r="D3" s="2"/>
      <c r="E3" s="3"/>
    </row>
    <row r="4">
      <c r="A4" s="38" t="s">
        <v>5</v>
      </c>
      <c r="B4" s="39" t="s">
        <v>6</v>
      </c>
      <c r="C4" s="38" t="s">
        <v>7</v>
      </c>
      <c r="D4" s="38" t="s">
        <v>8</v>
      </c>
      <c r="E4" s="38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 t="shared" ref="E5:E14" si="1">(D5*1.2%)*20%*25%</f>
        <v>2070.6</v>
      </c>
    </row>
    <row r="6">
      <c r="A6" s="13"/>
      <c r="B6" s="14"/>
      <c r="C6" s="15"/>
      <c r="D6" s="15"/>
      <c r="E6" s="40">
        <f t="shared" si="1"/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6"/>
      <c r="C11" s="15"/>
      <c r="D11" s="15"/>
      <c r="E11" s="40">
        <f t="shared" si="1"/>
        <v>0</v>
      </c>
    </row>
    <row r="12">
      <c r="A12" s="13"/>
      <c r="B12" s="16"/>
      <c r="C12" s="15"/>
      <c r="D12" s="15"/>
      <c r="E12" s="40">
        <f t="shared" si="1"/>
        <v>0</v>
      </c>
    </row>
    <row r="13">
      <c r="A13" s="13"/>
      <c r="B13" s="16"/>
      <c r="C13" s="15"/>
      <c r="D13" s="15"/>
      <c r="E13" s="40">
        <f t="shared" si="1"/>
        <v>0</v>
      </c>
    </row>
    <row r="14">
      <c r="A14" s="13"/>
      <c r="B14" s="16"/>
      <c r="C14" s="15"/>
      <c r="D14" s="15"/>
      <c r="E14" s="40">
        <f t="shared" si="1"/>
        <v>0</v>
      </c>
    </row>
    <row r="15">
      <c r="A15" s="13"/>
      <c r="B15" s="17" t="s">
        <v>11</v>
      </c>
      <c r="C15" s="18">
        <f t="shared" ref="C15:E15" si="2">SUM(C5:C14)</f>
        <v>8500000</v>
      </c>
      <c r="D15" s="18">
        <f t="shared" si="2"/>
        <v>3451000</v>
      </c>
      <c r="E15" s="23">
        <f t="shared" si="2"/>
        <v>2070.6</v>
      </c>
    </row>
    <row r="16">
      <c r="A16" s="26"/>
      <c r="B16" s="44" t="s">
        <v>14</v>
      </c>
      <c r="C16" s="2"/>
      <c r="D16" s="3"/>
      <c r="E16" s="28">
        <f>E15</f>
        <v>2070.6</v>
      </c>
    </row>
    <row r="17">
      <c r="A17" s="45" t="s">
        <v>15</v>
      </c>
      <c r="B17" s="30"/>
      <c r="C17" s="30"/>
      <c r="D17" s="30"/>
      <c r="E17" s="31"/>
    </row>
    <row r="18">
      <c r="A18" s="32"/>
      <c r="B18" s="33"/>
      <c r="C18" s="33"/>
      <c r="D18" s="33"/>
      <c r="E18" s="34"/>
    </row>
  </sheetData>
  <mergeCells count="6">
    <mergeCell ref="A1:E1"/>
    <mergeCell ref="B2:E2"/>
    <mergeCell ref="B3:E3"/>
    <mergeCell ref="A5:A16"/>
    <mergeCell ref="B16:D16"/>
    <mergeCell ref="A17:E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5" t="s">
        <v>0</v>
      </c>
      <c r="B1" s="2"/>
      <c r="C1" s="2"/>
      <c r="D1" s="2"/>
      <c r="E1" s="3"/>
    </row>
    <row r="2">
      <c r="A2" s="5" t="s">
        <v>1</v>
      </c>
      <c r="B2" s="6" t="s">
        <v>24</v>
      </c>
      <c r="C2" s="2"/>
      <c r="D2" s="2"/>
      <c r="E2" s="3"/>
    </row>
    <row r="3">
      <c r="A3" s="5" t="s">
        <v>3</v>
      </c>
      <c r="B3" s="6" t="s">
        <v>25</v>
      </c>
      <c r="C3" s="2"/>
      <c r="D3" s="2"/>
      <c r="E3" s="3"/>
    </row>
    <row r="4">
      <c r="A4" s="38" t="s">
        <v>5</v>
      </c>
      <c r="B4" s="39" t="s">
        <v>6</v>
      </c>
      <c r="C4" s="38" t="s">
        <v>7</v>
      </c>
      <c r="D4" s="38" t="s">
        <v>8</v>
      </c>
      <c r="E4" s="38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>(D5*1.2%)*30%*25%*100%</f>
        <v>3105.9</v>
      </c>
    </row>
    <row r="6">
      <c r="A6" s="13"/>
      <c r="B6" s="14"/>
      <c r="C6" s="15"/>
      <c r="D6" s="15"/>
      <c r="E6" s="40">
        <f t="shared" ref="E6:E9" si="1">(D6*1.2%)*20%*30%</f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/>
    </row>
    <row r="11">
      <c r="A11" s="13"/>
      <c r="B11" s="17" t="s">
        <v>11</v>
      </c>
      <c r="C11" s="18">
        <f t="shared" ref="C11:E11" si="2">SUM(C5:C10)</f>
        <v>8500000</v>
      </c>
      <c r="D11" s="18">
        <f t="shared" si="2"/>
        <v>3451000</v>
      </c>
      <c r="E11" s="23">
        <f t="shared" si="2"/>
        <v>3105.9</v>
      </c>
    </row>
    <row r="12">
      <c r="A12" s="13"/>
      <c r="B12" s="43" t="s">
        <v>20</v>
      </c>
      <c r="C12" s="2"/>
      <c r="D12" s="2"/>
      <c r="E12" s="3"/>
    </row>
    <row r="13">
      <c r="A13" s="13"/>
      <c r="B13" s="14" t="s">
        <v>21</v>
      </c>
      <c r="C13" s="15">
        <v>4.1E7</v>
      </c>
      <c r="D13" s="15">
        <v>4009000.0</v>
      </c>
      <c r="E13" s="21">
        <f t="shared" ref="E13:E17" si="3">(D13*1.2%)*20%*25%</f>
        <v>2405.4</v>
      </c>
    </row>
    <row r="14">
      <c r="A14" s="13"/>
      <c r="B14" s="14"/>
      <c r="C14" s="22"/>
      <c r="D14" s="22"/>
      <c r="E14" s="21">
        <f t="shared" si="3"/>
        <v>0</v>
      </c>
    </row>
    <row r="15">
      <c r="A15" s="13"/>
      <c r="B15" s="14"/>
      <c r="C15" s="22"/>
      <c r="D15" s="22"/>
      <c r="E15" s="21">
        <f t="shared" si="3"/>
        <v>0</v>
      </c>
    </row>
    <row r="16">
      <c r="A16" s="13"/>
      <c r="B16" s="14"/>
      <c r="C16" s="22"/>
      <c r="D16" s="22"/>
      <c r="E16" s="21">
        <f t="shared" si="3"/>
        <v>0</v>
      </c>
    </row>
    <row r="17">
      <c r="A17" s="13"/>
      <c r="B17" s="14"/>
      <c r="C17" s="22"/>
      <c r="D17" s="22"/>
      <c r="E17" s="21">
        <f t="shared" si="3"/>
        <v>0</v>
      </c>
    </row>
    <row r="18">
      <c r="A18" s="13"/>
      <c r="B18" s="24" t="s">
        <v>11</v>
      </c>
      <c r="C18" s="25">
        <f t="shared" ref="C18:E18" si="4">SUM(C13:C17)</f>
        <v>41000000</v>
      </c>
      <c r="D18" s="25">
        <f t="shared" si="4"/>
        <v>4009000</v>
      </c>
      <c r="E18" s="23">
        <f t="shared" si="4"/>
        <v>2405.4</v>
      </c>
    </row>
    <row r="19">
      <c r="A19" s="26"/>
      <c r="B19" s="44" t="s">
        <v>14</v>
      </c>
      <c r="C19" s="2"/>
      <c r="D19" s="3"/>
      <c r="E19" s="28">
        <f>E11+E18</f>
        <v>5511.3</v>
      </c>
    </row>
    <row r="20">
      <c r="A20" s="45" t="s">
        <v>15</v>
      </c>
      <c r="B20" s="30"/>
      <c r="C20" s="30"/>
      <c r="D20" s="30"/>
      <c r="E20" s="31"/>
    </row>
    <row r="21">
      <c r="A21" s="32"/>
      <c r="B21" s="33"/>
      <c r="C21" s="33"/>
      <c r="D21" s="33"/>
      <c r="E21" s="34"/>
    </row>
  </sheetData>
  <mergeCells count="7">
    <mergeCell ref="A1:E1"/>
    <mergeCell ref="B2:E2"/>
    <mergeCell ref="B3:E3"/>
    <mergeCell ref="A5:A19"/>
    <mergeCell ref="B12:E12"/>
    <mergeCell ref="B19:D19"/>
    <mergeCell ref="A20:E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6" t="s">
        <v>26</v>
      </c>
      <c r="C2" s="2"/>
      <c r="D2" s="2"/>
      <c r="E2" s="3"/>
    </row>
    <row r="3">
      <c r="A3" s="5" t="s">
        <v>3</v>
      </c>
      <c r="B3" s="6" t="s">
        <v>27</v>
      </c>
      <c r="C3" s="2"/>
      <c r="D3" s="2"/>
      <c r="E3" s="3"/>
    </row>
    <row r="4">
      <c r="A4" s="7" t="s">
        <v>5</v>
      </c>
      <c r="B4" s="8" t="s">
        <v>6</v>
      </c>
      <c r="C4" s="7" t="s">
        <v>7</v>
      </c>
      <c r="D4" s="7" t="s">
        <v>8</v>
      </c>
      <c r="E4" s="7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 t="shared" ref="E5:E10" si="1">(D5*1.2%)*16%*20%</f>
        <v>1325.184</v>
      </c>
    </row>
    <row r="6">
      <c r="A6" s="13"/>
      <c r="B6" s="14"/>
      <c r="C6" s="15"/>
      <c r="D6" s="15"/>
      <c r="E6" s="40">
        <f t="shared" si="1"/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7" t="s">
        <v>11</v>
      </c>
      <c r="C11" s="18">
        <f t="shared" ref="C11:E11" si="2">SUM(C5:C10)</f>
        <v>8500000</v>
      </c>
      <c r="D11" s="18">
        <f t="shared" si="2"/>
        <v>3451000</v>
      </c>
      <c r="E11" s="23">
        <f t="shared" si="2"/>
        <v>1325.184</v>
      </c>
    </row>
    <row r="12">
      <c r="A12" s="13"/>
      <c r="B12" s="20" t="s">
        <v>28</v>
      </c>
      <c r="C12" s="2"/>
      <c r="D12" s="2"/>
      <c r="E12" s="3"/>
    </row>
    <row r="13">
      <c r="A13" s="13"/>
      <c r="B13" s="10" t="s">
        <v>10</v>
      </c>
      <c r="C13" s="11">
        <v>8500000.0</v>
      </c>
      <c r="D13" s="11">
        <v>3451000.0</v>
      </c>
      <c r="E13" s="40">
        <f t="shared" ref="E13:E18" si="3">(D13*1.2%)*16%*15%</f>
        <v>993.888</v>
      </c>
    </row>
    <row r="14">
      <c r="A14" s="13"/>
      <c r="B14" s="14"/>
      <c r="C14" s="22"/>
      <c r="D14" s="22"/>
      <c r="E14" s="40">
        <f t="shared" si="3"/>
        <v>0</v>
      </c>
    </row>
    <row r="15">
      <c r="A15" s="13"/>
      <c r="B15" s="14"/>
      <c r="C15" s="22"/>
      <c r="D15" s="22"/>
      <c r="E15" s="40">
        <f t="shared" si="3"/>
        <v>0</v>
      </c>
    </row>
    <row r="16">
      <c r="A16" s="13"/>
      <c r="B16" s="14"/>
      <c r="C16" s="22"/>
      <c r="D16" s="22"/>
      <c r="E16" s="40">
        <f t="shared" si="3"/>
        <v>0</v>
      </c>
    </row>
    <row r="17">
      <c r="A17" s="13"/>
      <c r="B17" s="14"/>
      <c r="C17" s="22"/>
      <c r="D17" s="22"/>
      <c r="E17" s="40">
        <f t="shared" si="3"/>
        <v>0</v>
      </c>
    </row>
    <row r="18">
      <c r="A18" s="13"/>
      <c r="B18" s="14"/>
      <c r="C18" s="22"/>
      <c r="D18" s="22"/>
      <c r="E18" s="40">
        <f t="shared" si="3"/>
        <v>0</v>
      </c>
    </row>
    <row r="19">
      <c r="A19" s="13"/>
      <c r="B19" s="17" t="s">
        <v>11</v>
      </c>
      <c r="C19" s="18">
        <f t="shared" ref="C19:D19" si="4">SUM(C12:C13)</f>
        <v>8500000</v>
      </c>
      <c r="D19" s="18">
        <f t="shared" si="4"/>
        <v>3451000</v>
      </c>
      <c r="E19" s="23">
        <f>SUM(E13:E18)</f>
        <v>993.888</v>
      </c>
    </row>
    <row r="20">
      <c r="A20" s="26"/>
      <c r="B20" s="27" t="s">
        <v>14</v>
      </c>
      <c r="C20" s="2"/>
      <c r="D20" s="3"/>
      <c r="E20" s="28">
        <f>E11+E19</f>
        <v>2319.072</v>
      </c>
    </row>
    <row r="21">
      <c r="A21" s="29" t="s">
        <v>15</v>
      </c>
      <c r="B21" s="30"/>
      <c r="C21" s="30"/>
      <c r="D21" s="30"/>
      <c r="E21" s="31"/>
    </row>
    <row r="22">
      <c r="A22" s="32"/>
      <c r="B22" s="33"/>
      <c r="C22" s="33"/>
      <c r="D22" s="33"/>
      <c r="E22" s="34"/>
    </row>
  </sheetData>
  <mergeCells count="7">
    <mergeCell ref="A1:E1"/>
    <mergeCell ref="B2:E2"/>
    <mergeCell ref="B3:E3"/>
    <mergeCell ref="A5:A20"/>
    <mergeCell ref="B12:E12"/>
    <mergeCell ref="B20:D20"/>
    <mergeCell ref="A21:E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5" max="5" width="7.78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6" t="s">
        <v>26</v>
      </c>
      <c r="C2" s="2"/>
      <c r="D2" s="2"/>
      <c r="E2" s="3"/>
    </row>
    <row r="3">
      <c r="A3" s="5" t="s">
        <v>3</v>
      </c>
      <c r="B3" s="6" t="s">
        <v>29</v>
      </c>
      <c r="C3" s="2"/>
      <c r="D3" s="2"/>
      <c r="E3" s="3"/>
    </row>
    <row r="4">
      <c r="A4" s="7" t="s">
        <v>5</v>
      </c>
      <c r="B4" s="8" t="s">
        <v>6</v>
      </c>
      <c r="C4" s="7" t="s">
        <v>7</v>
      </c>
      <c r="D4" s="7" t="s">
        <v>8</v>
      </c>
      <c r="E4" s="7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>(D5*1.2%)*16%*15%</f>
        <v>993.888</v>
      </c>
    </row>
    <row r="6">
      <c r="A6" s="13"/>
      <c r="B6" s="14"/>
      <c r="C6" s="15"/>
      <c r="D6" s="15"/>
      <c r="E6" s="40">
        <f t="shared" ref="E6:E10" si="1">(D6*1.2%)*16%*20%</f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7" t="s">
        <v>11</v>
      </c>
      <c r="C11" s="18">
        <f t="shared" ref="C11:E11" si="2">SUM(C5:C10)</f>
        <v>8500000</v>
      </c>
      <c r="D11" s="18">
        <f t="shared" si="2"/>
        <v>3451000</v>
      </c>
      <c r="E11" s="23">
        <f t="shared" si="2"/>
        <v>993.888</v>
      </c>
    </row>
    <row r="12">
      <c r="A12" s="13"/>
      <c r="B12" s="20" t="s">
        <v>20</v>
      </c>
      <c r="C12" s="2"/>
      <c r="D12" s="2"/>
      <c r="E12" s="3"/>
    </row>
    <row r="13">
      <c r="A13" s="13"/>
      <c r="B13" s="10" t="s">
        <v>10</v>
      </c>
      <c r="C13" s="11">
        <v>8500000.0</v>
      </c>
      <c r="D13" s="11">
        <v>3451000.0</v>
      </c>
      <c r="E13" s="40">
        <f>(D13*1.2%)*20%*25%</f>
        <v>2070.6</v>
      </c>
    </row>
    <row r="14">
      <c r="A14" s="13"/>
      <c r="B14" s="14"/>
      <c r="C14" s="22"/>
      <c r="D14" s="22"/>
      <c r="E14" s="40">
        <f t="shared" ref="E14:E18" si="3">(D14*1.2%)*16%*15%</f>
        <v>0</v>
      </c>
    </row>
    <row r="15">
      <c r="A15" s="13"/>
      <c r="B15" s="14"/>
      <c r="C15" s="22"/>
      <c r="D15" s="22"/>
      <c r="E15" s="40">
        <f t="shared" si="3"/>
        <v>0</v>
      </c>
    </row>
    <row r="16">
      <c r="A16" s="13"/>
      <c r="B16" s="14"/>
      <c r="C16" s="22"/>
      <c r="D16" s="22"/>
      <c r="E16" s="40">
        <f t="shared" si="3"/>
        <v>0</v>
      </c>
    </row>
    <row r="17">
      <c r="A17" s="13"/>
      <c r="B17" s="14"/>
      <c r="C17" s="22"/>
      <c r="D17" s="22"/>
      <c r="E17" s="40">
        <f t="shared" si="3"/>
        <v>0</v>
      </c>
    </row>
    <row r="18">
      <c r="A18" s="13"/>
      <c r="B18" s="14"/>
      <c r="C18" s="22"/>
      <c r="D18" s="22"/>
      <c r="E18" s="40">
        <f t="shared" si="3"/>
        <v>0</v>
      </c>
    </row>
    <row r="19">
      <c r="A19" s="13"/>
      <c r="B19" s="17" t="s">
        <v>11</v>
      </c>
      <c r="C19" s="18">
        <f t="shared" ref="C19:D19" si="4">SUM(C12:C13)</f>
        <v>8500000</v>
      </c>
      <c r="D19" s="18">
        <f t="shared" si="4"/>
        <v>3451000</v>
      </c>
      <c r="E19" s="23">
        <f>SUM(E13:E18)</f>
        <v>2070.6</v>
      </c>
    </row>
    <row r="20">
      <c r="A20" s="26"/>
      <c r="B20" s="27" t="s">
        <v>14</v>
      </c>
      <c r="C20" s="2"/>
      <c r="D20" s="3"/>
      <c r="E20" s="28">
        <f>E11+E19</f>
        <v>3064.488</v>
      </c>
    </row>
    <row r="21">
      <c r="A21" s="29" t="s">
        <v>15</v>
      </c>
      <c r="B21" s="30"/>
      <c r="C21" s="30"/>
      <c r="D21" s="30"/>
      <c r="E21" s="31"/>
    </row>
    <row r="22">
      <c r="A22" s="32"/>
      <c r="B22" s="33"/>
      <c r="C22" s="33"/>
      <c r="D22" s="33"/>
      <c r="E22" s="34"/>
    </row>
  </sheetData>
  <mergeCells count="7">
    <mergeCell ref="A1:E1"/>
    <mergeCell ref="B2:E2"/>
    <mergeCell ref="B3:E3"/>
    <mergeCell ref="A5:A20"/>
    <mergeCell ref="B12:E12"/>
    <mergeCell ref="B20:D20"/>
    <mergeCell ref="A21:E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6" t="s">
        <v>26</v>
      </c>
      <c r="C2" s="2"/>
      <c r="D2" s="2"/>
      <c r="E2" s="3"/>
    </row>
    <row r="3">
      <c r="A3" s="5" t="s">
        <v>3</v>
      </c>
      <c r="B3" s="6" t="s">
        <v>30</v>
      </c>
      <c r="C3" s="2"/>
      <c r="D3" s="2"/>
      <c r="E3" s="3"/>
    </row>
    <row r="4">
      <c r="A4" s="7" t="s">
        <v>5</v>
      </c>
      <c r="B4" s="8" t="s">
        <v>6</v>
      </c>
      <c r="C4" s="7" t="s">
        <v>7</v>
      </c>
      <c r="D4" s="7" t="s">
        <v>8</v>
      </c>
      <c r="E4" s="7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>(D5*1.2%)*16%*10%</f>
        <v>662.592</v>
      </c>
    </row>
    <row r="6">
      <c r="A6" s="13"/>
      <c r="B6" s="14"/>
      <c r="C6" s="15"/>
      <c r="D6" s="15"/>
      <c r="E6" s="40">
        <f t="shared" ref="E6:E10" si="1">(D6*1.2%)*16%*20%</f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7" t="s">
        <v>11</v>
      </c>
      <c r="C11" s="18">
        <f t="shared" ref="C11:E11" si="2">SUM(C5:C10)</f>
        <v>8500000</v>
      </c>
      <c r="D11" s="18">
        <f t="shared" si="2"/>
        <v>3451000</v>
      </c>
      <c r="E11" s="23">
        <f t="shared" si="2"/>
        <v>662.592</v>
      </c>
    </row>
    <row r="12">
      <c r="A12" s="13"/>
      <c r="B12" s="20" t="s">
        <v>20</v>
      </c>
      <c r="C12" s="2"/>
      <c r="D12" s="2"/>
      <c r="E12" s="3"/>
    </row>
    <row r="13">
      <c r="A13" s="13"/>
      <c r="B13" s="10" t="s">
        <v>10</v>
      </c>
      <c r="C13" s="11">
        <v>8500000.0</v>
      </c>
      <c r="D13" s="11">
        <v>3451000.0</v>
      </c>
      <c r="E13" s="40">
        <f>(D13*1.2%)*20%*25%</f>
        <v>2070.6</v>
      </c>
    </row>
    <row r="14">
      <c r="A14" s="13"/>
      <c r="B14" s="14"/>
      <c r="C14" s="22"/>
      <c r="D14" s="22"/>
      <c r="E14" s="40">
        <f t="shared" ref="E14:E18" si="3">(D14*1.2%)*16%*15%</f>
        <v>0</v>
      </c>
    </row>
    <row r="15">
      <c r="A15" s="13"/>
      <c r="B15" s="14"/>
      <c r="C15" s="22"/>
      <c r="D15" s="22"/>
      <c r="E15" s="40">
        <f t="shared" si="3"/>
        <v>0</v>
      </c>
    </row>
    <row r="16">
      <c r="A16" s="13"/>
      <c r="B16" s="14"/>
      <c r="C16" s="22"/>
      <c r="D16" s="22"/>
      <c r="E16" s="40">
        <f t="shared" si="3"/>
        <v>0</v>
      </c>
    </row>
    <row r="17">
      <c r="A17" s="13"/>
      <c r="B17" s="14"/>
      <c r="C17" s="22"/>
      <c r="D17" s="22"/>
      <c r="E17" s="40">
        <f t="shared" si="3"/>
        <v>0</v>
      </c>
    </row>
    <row r="18">
      <c r="A18" s="13"/>
      <c r="B18" s="14"/>
      <c r="C18" s="22"/>
      <c r="D18" s="22"/>
      <c r="E18" s="40">
        <f t="shared" si="3"/>
        <v>0</v>
      </c>
    </row>
    <row r="19">
      <c r="A19" s="13"/>
      <c r="B19" s="17" t="s">
        <v>11</v>
      </c>
      <c r="C19" s="18">
        <f t="shared" ref="C19:D19" si="4">SUM(C12:C13)</f>
        <v>8500000</v>
      </c>
      <c r="D19" s="18">
        <f t="shared" si="4"/>
        <v>3451000</v>
      </c>
      <c r="E19" s="23">
        <f>SUM(E13:E18)</f>
        <v>2070.6</v>
      </c>
    </row>
    <row r="20">
      <c r="A20" s="26"/>
      <c r="B20" s="27" t="s">
        <v>14</v>
      </c>
      <c r="C20" s="2"/>
      <c r="D20" s="3"/>
      <c r="E20" s="28">
        <f>E11+E19</f>
        <v>2733.192</v>
      </c>
    </row>
    <row r="21">
      <c r="A21" s="29" t="s">
        <v>15</v>
      </c>
      <c r="B21" s="30"/>
      <c r="C21" s="30"/>
      <c r="D21" s="30"/>
      <c r="E21" s="31"/>
    </row>
    <row r="22">
      <c r="A22" s="32"/>
      <c r="B22" s="33"/>
      <c r="C22" s="33"/>
      <c r="D22" s="33"/>
      <c r="E22" s="34"/>
    </row>
  </sheetData>
  <mergeCells count="7">
    <mergeCell ref="A1:E1"/>
    <mergeCell ref="B2:E2"/>
    <mergeCell ref="B3:E3"/>
    <mergeCell ref="A5:A20"/>
    <mergeCell ref="B12:E12"/>
    <mergeCell ref="B20:D20"/>
    <mergeCell ref="A21:E2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6" t="s">
        <v>26</v>
      </c>
      <c r="C2" s="2"/>
      <c r="D2" s="2"/>
      <c r="E2" s="3"/>
    </row>
    <row r="3">
      <c r="A3" s="5" t="s">
        <v>3</v>
      </c>
      <c r="B3" s="6" t="s">
        <v>31</v>
      </c>
      <c r="C3" s="2"/>
      <c r="D3" s="2"/>
      <c r="E3" s="3"/>
    </row>
    <row r="4">
      <c r="A4" s="7" t="s">
        <v>5</v>
      </c>
      <c r="B4" s="8" t="s">
        <v>6</v>
      </c>
      <c r="C4" s="7" t="s">
        <v>7</v>
      </c>
      <c r="D4" s="7" t="s">
        <v>8</v>
      </c>
      <c r="E4" s="7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>(D5*1.2%)*16%*10%</f>
        <v>662.592</v>
      </c>
    </row>
    <row r="6">
      <c r="A6" s="13"/>
      <c r="B6" s="14"/>
      <c r="C6" s="15"/>
      <c r="D6" s="15"/>
      <c r="E6" s="40">
        <f t="shared" ref="E6:E10" si="1">(D6*1.2%)*16%*20%</f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7" t="s">
        <v>11</v>
      </c>
      <c r="C11" s="18">
        <f t="shared" ref="C11:E11" si="2">SUM(C5:C10)</f>
        <v>8500000</v>
      </c>
      <c r="D11" s="18">
        <f t="shared" si="2"/>
        <v>3451000</v>
      </c>
      <c r="E11" s="23">
        <f t="shared" si="2"/>
        <v>662.592</v>
      </c>
    </row>
    <row r="12">
      <c r="A12" s="13"/>
      <c r="B12" s="20" t="s">
        <v>20</v>
      </c>
      <c r="C12" s="2"/>
      <c r="D12" s="2"/>
      <c r="E12" s="3"/>
    </row>
    <row r="13">
      <c r="A13" s="13"/>
      <c r="B13" s="10" t="s">
        <v>10</v>
      </c>
      <c r="C13" s="11">
        <v>8500000.0</v>
      </c>
      <c r="D13" s="11">
        <v>3451000.0</v>
      </c>
      <c r="E13" s="40">
        <f>(D13*1.2%)*20%*25%</f>
        <v>2070.6</v>
      </c>
    </row>
    <row r="14">
      <c r="A14" s="13"/>
      <c r="B14" s="14"/>
      <c r="C14" s="22"/>
      <c r="D14" s="22"/>
      <c r="E14" s="40">
        <f t="shared" ref="E14:E18" si="3">(D14*1.2%)*16%*15%</f>
        <v>0</v>
      </c>
    </row>
    <row r="15">
      <c r="A15" s="13"/>
      <c r="B15" s="14"/>
      <c r="C15" s="22"/>
      <c r="D15" s="22"/>
      <c r="E15" s="40">
        <f t="shared" si="3"/>
        <v>0</v>
      </c>
    </row>
    <row r="16">
      <c r="A16" s="13"/>
      <c r="B16" s="14"/>
      <c r="C16" s="22"/>
      <c r="D16" s="22"/>
      <c r="E16" s="40">
        <f t="shared" si="3"/>
        <v>0</v>
      </c>
    </row>
    <row r="17">
      <c r="A17" s="13"/>
      <c r="B17" s="14"/>
      <c r="C17" s="22"/>
      <c r="D17" s="22"/>
      <c r="E17" s="40">
        <f t="shared" si="3"/>
        <v>0</v>
      </c>
    </row>
    <row r="18">
      <c r="A18" s="13"/>
      <c r="B18" s="14"/>
      <c r="C18" s="22"/>
      <c r="D18" s="22"/>
      <c r="E18" s="40">
        <f t="shared" si="3"/>
        <v>0</v>
      </c>
    </row>
    <row r="19">
      <c r="A19" s="13"/>
      <c r="B19" s="17" t="s">
        <v>11</v>
      </c>
      <c r="C19" s="18">
        <f t="shared" ref="C19:D19" si="4">SUM(C12:C13)</f>
        <v>8500000</v>
      </c>
      <c r="D19" s="18">
        <f t="shared" si="4"/>
        <v>3451000</v>
      </c>
      <c r="E19" s="23">
        <f>SUM(E13:E18)</f>
        <v>2070.6</v>
      </c>
    </row>
    <row r="20">
      <c r="A20" s="26"/>
      <c r="B20" s="27" t="s">
        <v>14</v>
      </c>
      <c r="C20" s="2"/>
      <c r="D20" s="3"/>
      <c r="E20" s="28">
        <f>E11+E19</f>
        <v>2733.192</v>
      </c>
    </row>
    <row r="21">
      <c r="A21" s="29" t="s">
        <v>15</v>
      </c>
      <c r="B21" s="30"/>
      <c r="C21" s="30"/>
      <c r="D21" s="30"/>
      <c r="E21" s="31"/>
    </row>
    <row r="22">
      <c r="A22" s="32"/>
      <c r="B22" s="33"/>
      <c r="C22" s="33"/>
      <c r="D22" s="33"/>
      <c r="E22" s="34"/>
    </row>
  </sheetData>
  <mergeCells count="7">
    <mergeCell ref="A1:E1"/>
    <mergeCell ref="B2:E2"/>
    <mergeCell ref="B3:E3"/>
    <mergeCell ref="A5:A20"/>
    <mergeCell ref="B12:E12"/>
    <mergeCell ref="B20:D20"/>
    <mergeCell ref="A21:E2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5" max="5" width="12.44"/>
  </cols>
  <sheetData>
    <row r="1">
      <c r="A1" s="1" t="s">
        <v>0</v>
      </c>
      <c r="B1" s="2"/>
      <c r="C1" s="2"/>
      <c r="D1" s="2"/>
      <c r="E1" s="3"/>
    </row>
    <row r="2">
      <c r="A2" s="5" t="s">
        <v>1</v>
      </c>
      <c r="B2" s="6" t="s">
        <v>26</v>
      </c>
      <c r="C2" s="2"/>
      <c r="D2" s="2"/>
      <c r="E2" s="3"/>
    </row>
    <row r="3">
      <c r="A3" s="5" t="s">
        <v>3</v>
      </c>
      <c r="B3" s="6" t="s">
        <v>32</v>
      </c>
      <c r="C3" s="2"/>
      <c r="D3" s="2"/>
      <c r="E3" s="3"/>
    </row>
    <row r="4">
      <c r="A4" s="7" t="s">
        <v>5</v>
      </c>
      <c r="B4" s="8" t="s">
        <v>6</v>
      </c>
      <c r="C4" s="7" t="s">
        <v>7</v>
      </c>
      <c r="D4" s="7" t="s">
        <v>8</v>
      </c>
      <c r="E4" s="7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>(D5*1.2%)*16%*3%</f>
        <v>198.7776</v>
      </c>
    </row>
    <row r="6">
      <c r="A6" s="13"/>
      <c r="B6" s="14"/>
      <c r="C6" s="15"/>
      <c r="D6" s="15"/>
      <c r="E6" s="40">
        <f t="shared" ref="E6:E10" si="1">(D6*1.2%)*16%*20%</f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7" t="s">
        <v>11</v>
      </c>
      <c r="C11" s="18">
        <f t="shared" ref="C11:E11" si="2">SUM(C5:C10)</f>
        <v>8500000</v>
      </c>
      <c r="D11" s="18">
        <f t="shared" si="2"/>
        <v>3451000</v>
      </c>
      <c r="E11" s="23">
        <f t="shared" si="2"/>
        <v>198.7776</v>
      </c>
    </row>
    <row r="12">
      <c r="A12" s="13"/>
      <c r="B12" s="20" t="s">
        <v>20</v>
      </c>
      <c r="C12" s="2"/>
      <c r="D12" s="2"/>
      <c r="E12" s="3"/>
    </row>
    <row r="13">
      <c r="A13" s="13"/>
      <c r="B13" s="10" t="s">
        <v>10</v>
      </c>
      <c r="C13" s="11">
        <v>8500000.0</v>
      </c>
      <c r="D13" s="11">
        <v>3451000.0</v>
      </c>
      <c r="E13" s="40">
        <f>(D13*1.2%)*20%*25%</f>
        <v>2070.6</v>
      </c>
    </row>
    <row r="14">
      <c r="A14" s="13"/>
      <c r="B14" s="14"/>
      <c r="C14" s="22"/>
      <c r="D14" s="22"/>
      <c r="E14" s="40">
        <f t="shared" ref="E14:E18" si="3">(D14*1.2%)*16%*15%</f>
        <v>0</v>
      </c>
    </row>
    <row r="15">
      <c r="A15" s="13"/>
      <c r="B15" s="14"/>
      <c r="C15" s="22"/>
      <c r="D15" s="22"/>
      <c r="E15" s="40">
        <f t="shared" si="3"/>
        <v>0</v>
      </c>
    </row>
    <row r="16">
      <c r="A16" s="13"/>
      <c r="B16" s="14"/>
      <c r="C16" s="22"/>
      <c r="D16" s="22"/>
      <c r="E16" s="40">
        <f t="shared" si="3"/>
        <v>0</v>
      </c>
    </row>
    <row r="17">
      <c r="A17" s="13"/>
      <c r="B17" s="14"/>
      <c r="C17" s="22"/>
      <c r="D17" s="22"/>
      <c r="E17" s="40">
        <f t="shared" si="3"/>
        <v>0</v>
      </c>
    </row>
    <row r="18">
      <c r="A18" s="13"/>
      <c r="B18" s="14"/>
      <c r="C18" s="22"/>
      <c r="D18" s="22"/>
      <c r="E18" s="40">
        <f t="shared" si="3"/>
        <v>0</v>
      </c>
    </row>
    <row r="19">
      <c r="A19" s="13"/>
      <c r="B19" s="17" t="s">
        <v>11</v>
      </c>
      <c r="C19" s="18">
        <f t="shared" ref="C19:D19" si="4">SUM(C12:C13)</f>
        <v>8500000</v>
      </c>
      <c r="D19" s="18">
        <f t="shared" si="4"/>
        <v>3451000</v>
      </c>
      <c r="E19" s="23">
        <f>SUM(E13:E18)</f>
        <v>2070.6</v>
      </c>
    </row>
    <row r="20">
      <c r="A20" s="26"/>
      <c r="B20" s="27" t="s">
        <v>14</v>
      </c>
      <c r="C20" s="2"/>
      <c r="D20" s="3"/>
      <c r="E20" s="28">
        <f>E11+E19</f>
        <v>2269.3776</v>
      </c>
    </row>
    <row r="21">
      <c r="A21" s="48" t="s">
        <v>15</v>
      </c>
      <c r="B21" s="30"/>
      <c r="C21" s="30"/>
      <c r="D21" s="30"/>
      <c r="E21" s="31"/>
    </row>
    <row r="22">
      <c r="A22" s="32"/>
      <c r="B22" s="33"/>
      <c r="C22" s="33"/>
      <c r="D22" s="33"/>
      <c r="E22" s="34"/>
    </row>
  </sheetData>
  <mergeCells count="7">
    <mergeCell ref="A1:E1"/>
    <mergeCell ref="B2:E2"/>
    <mergeCell ref="B3:E3"/>
    <mergeCell ref="A5:A20"/>
    <mergeCell ref="B12:E12"/>
    <mergeCell ref="B20:D20"/>
    <mergeCell ref="A21:E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1.44"/>
  </cols>
  <sheetData>
    <row r="1">
      <c r="A1" s="35" t="s">
        <v>0</v>
      </c>
      <c r="B1" s="2"/>
      <c r="C1" s="2"/>
      <c r="D1" s="2"/>
      <c r="E1" s="3"/>
    </row>
    <row r="2">
      <c r="A2" s="5" t="s">
        <v>1</v>
      </c>
      <c r="B2" s="6" t="s">
        <v>24</v>
      </c>
      <c r="C2" s="2"/>
      <c r="D2" s="2"/>
      <c r="E2" s="3"/>
    </row>
    <row r="3">
      <c r="A3" s="5" t="s">
        <v>3</v>
      </c>
      <c r="B3" s="6" t="s">
        <v>33</v>
      </c>
      <c r="C3" s="2"/>
      <c r="D3" s="2"/>
      <c r="E3" s="3"/>
    </row>
    <row r="4">
      <c r="A4" s="38" t="s">
        <v>5</v>
      </c>
      <c r="B4" s="39" t="s">
        <v>6</v>
      </c>
      <c r="C4" s="38" t="s">
        <v>7</v>
      </c>
      <c r="D4" s="38" t="s">
        <v>8</v>
      </c>
      <c r="E4" s="38" t="s">
        <v>9</v>
      </c>
    </row>
    <row r="5">
      <c r="A5" s="49" t="s">
        <v>34</v>
      </c>
      <c r="B5" s="10" t="s">
        <v>35</v>
      </c>
      <c r="C5" s="11">
        <v>6000000.0</v>
      </c>
      <c r="D5" s="11">
        <v>2100000.0</v>
      </c>
      <c r="E5" s="40">
        <f t="shared" ref="E5:E14" si="1">(D5*1.2%)*30%*75%*73%</f>
        <v>4139.1</v>
      </c>
    </row>
    <row r="6">
      <c r="A6" s="13"/>
      <c r="B6" s="10" t="s">
        <v>10</v>
      </c>
      <c r="C6" s="11">
        <v>8500000.0</v>
      </c>
      <c r="D6" s="11">
        <v>3451000.0</v>
      </c>
      <c r="E6" s="40">
        <f t="shared" si="1"/>
        <v>6801.921</v>
      </c>
    </row>
    <row r="7">
      <c r="A7" s="13"/>
      <c r="B7" s="50" t="s">
        <v>36</v>
      </c>
      <c r="C7" s="11">
        <v>4600000.0</v>
      </c>
      <c r="D7" s="11">
        <v>2169000.0</v>
      </c>
      <c r="E7" s="40">
        <f t="shared" si="1"/>
        <v>4275.099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6"/>
      <c r="C11" s="15"/>
      <c r="D11" s="15"/>
      <c r="E11" s="40">
        <f t="shared" si="1"/>
        <v>0</v>
      </c>
    </row>
    <row r="12">
      <c r="A12" s="13"/>
      <c r="B12" s="16"/>
      <c r="C12" s="15"/>
      <c r="D12" s="15"/>
      <c r="E12" s="40">
        <f t="shared" si="1"/>
        <v>0</v>
      </c>
    </row>
    <row r="13">
      <c r="A13" s="13"/>
      <c r="B13" s="16"/>
      <c r="C13" s="15"/>
      <c r="D13" s="15"/>
      <c r="E13" s="40">
        <f t="shared" si="1"/>
        <v>0</v>
      </c>
    </row>
    <row r="14">
      <c r="A14" s="13"/>
      <c r="B14" s="16"/>
      <c r="C14" s="15"/>
      <c r="D14" s="15"/>
      <c r="E14" s="40">
        <f t="shared" si="1"/>
        <v>0</v>
      </c>
    </row>
    <row r="15">
      <c r="A15" s="13"/>
      <c r="B15" s="17" t="s">
        <v>11</v>
      </c>
      <c r="C15" s="18">
        <f t="shared" ref="C15:E15" si="2">SUM(C5:C14)</f>
        <v>19100000</v>
      </c>
      <c r="D15" s="18">
        <f t="shared" si="2"/>
        <v>7720000</v>
      </c>
      <c r="E15" s="23">
        <f t="shared" si="2"/>
        <v>15216.12</v>
      </c>
    </row>
    <row r="16">
      <c r="A16" s="13"/>
      <c r="B16" s="20" t="s">
        <v>37</v>
      </c>
      <c r="C16" s="2"/>
      <c r="D16" s="2"/>
      <c r="E16" s="3"/>
    </row>
    <row r="17">
      <c r="A17" s="13"/>
      <c r="B17" s="10" t="s">
        <v>38</v>
      </c>
      <c r="C17" s="51">
        <v>1275.0</v>
      </c>
      <c r="D17" s="51">
        <v>1275.0</v>
      </c>
      <c r="E17" s="52">
        <f t="shared" ref="E17:E18" si="3">D17</f>
        <v>1275</v>
      </c>
    </row>
    <row r="18">
      <c r="A18" s="13"/>
      <c r="B18" s="10" t="s">
        <v>39</v>
      </c>
      <c r="C18" s="51">
        <v>2835.0</v>
      </c>
      <c r="D18" s="51">
        <v>2835.0</v>
      </c>
      <c r="E18" s="52">
        <f t="shared" si="3"/>
        <v>2835</v>
      </c>
    </row>
    <row r="19">
      <c r="A19" s="13"/>
      <c r="B19" s="14"/>
      <c r="C19" s="22"/>
      <c r="D19" s="22"/>
      <c r="E19" s="21">
        <f t="shared" ref="E19:E21" si="4">(D19*1.2%)*20%*25%</f>
        <v>0</v>
      </c>
    </row>
    <row r="20">
      <c r="A20" s="13"/>
      <c r="B20" s="14"/>
      <c r="C20" s="22"/>
      <c r="D20" s="22"/>
      <c r="E20" s="21">
        <f t="shared" si="4"/>
        <v>0</v>
      </c>
    </row>
    <row r="21">
      <c r="A21" s="13"/>
      <c r="B21" s="14"/>
      <c r="C21" s="22"/>
      <c r="D21" s="22"/>
      <c r="E21" s="21">
        <f t="shared" si="4"/>
        <v>0</v>
      </c>
    </row>
    <row r="22">
      <c r="A22" s="13"/>
      <c r="B22" s="24" t="s">
        <v>11</v>
      </c>
      <c r="C22" s="25">
        <f t="shared" ref="C22:E22" si="5">SUM(C17:C21)</f>
        <v>4110</v>
      </c>
      <c r="D22" s="25">
        <f t="shared" si="5"/>
        <v>4110</v>
      </c>
      <c r="E22" s="23">
        <f t="shared" si="5"/>
        <v>4110</v>
      </c>
    </row>
    <row r="23">
      <c r="A23" s="26"/>
      <c r="B23" s="44" t="s">
        <v>14</v>
      </c>
      <c r="C23" s="2"/>
      <c r="D23" s="3"/>
      <c r="E23" s="28">
        <f>E15+E22</f>
        <v>19326.12</v>
      </c>
    </row>
    <row r="24">
      <c r="A24" s="45" t="s">
        <v>15</v>
      </c>
      <c r="B24" s="30"/>
      <c r="C24" s="30"/>
      <c r="D24" s="30"/>
      <c r="E24" s="31"/>
    </row>
    <row r="25">
      <c r="A25" s="32"/>
      <c r="B25" s="33"/>
      <c r="C25" s="33"/>
      <c r="D25" s="33"/>
      <c r="E25" s="34"/>
    </row>
  </sheetData>
  <mergeCells count="7">
    <mergeCell ref="A1:E1"/>
    <mergeCell ref="B2:E2"/>
    <mergeCell ref="B3:E3"/>
    <mergeCell ref="A5:A23"/>
    <mergeCell ref="B16:E16"/>
    <mergeCell ref="B23:D23"/>
    <mergeCell ref="A24:E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5" t="s">
        <v>0</v>
      </c>
      <c r="B1" s="2"/>
      <c r="C1" s="2"/>
      <c r="D1" s="2"/>
      <c r="E1" s="3"/>
    </row>
    <row r="2">
      <c r="A2" s="5" t="s">
        <v>1</v>
      </c>
      <c r="B2" s="6" t="s">
        <v>24</v>
      </c>
      <c r="C2" s="2"/>
      <c r="D2" s="2"/>
      <c r="E2" s="3"/>
    </row>
    <row r="3">
      <c r="A3" s="5" t="s">
        <v>3</v>
      </c>
      <c r="B3" s="6" t="s">
        <v>40</v>
      </c>
      <c r="C3" s="2"/>
      <c r="D3" s="2"/>
      <c r="E3" s="3"/>
    </row>
    <row r="4">
      <c r="A4" s="38" t="s">
        <v>5</v>
      </c>
      <c r="B4" s="39" t="s">
        <v>6</v>
      </c>
      <c r="C4" s="38" t="s">
        <v>7</v>
      </c>
      <c r="D4" s="38" t="s">
        <v>8</v>
      </c>
      <c r="E4" s="38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 t="shared" ref="E5:E14" si="1">(D5*1.2%)*30%*75%*19%</f>
        <v>1770.363</v>
      </c>
    </row>
    <row r="6">
      <c r="A6" s="13"/>
      <c r="B6" s="14"/>
      <c r="C6" s="15"/>
      <c r="D6" s="15"/>
      <c r="E6" s="40">
        <f t="shared" si="1"/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6"/>
      <c r="C11" s="15"/>
      <c r="D11" s="15"/>
      <c r="E11" s="40">
        <f t="shared" si="1"/>
        <v>0</v>
      </c>
    </row>
    <row r="12">
      <c r="A12" s="13"/>
      <c r="B12" s="16"/>
      <c r="C12" s="15"/>
      <c r="D12" s="15"/>
      <c r="E12" s="40">
        <f t="shared" si="1"/>
        <v>0</v>
      </c>
    </row>
    <row r="13">
      <c r="A13" s="13"/>
      <c r="B13" s="16"/>
      <c r="C13" s="15"/>
      <c r="D13" s="15"/>
      <c r="E13" s="40">
        <f t="shared" si="1"/>
        <v>0</v>
      </c>
    </row>
    <row r="14">
      <c r="A14" s="13"/>
      <c r="B14" s="16"/>
      <c r="C14" s="15"/>
      <c r="D14" s="15"/>
      <c r="E14" s="40">
        <f t="shared" si="1"/>
        <v>0</v>
      </c>
    </row>
    <row r="15">
      <c r="A15" s="13"/>
      <c r="B15" s="17" t="s">
        <v>11</v>
      </c>
      <c r="C15" s="18">
        <f t="shared" ref="C15:E15" si="2">SUM(C5:C14)</f>
        <v>8500000</v>
      </c>
      <c r="D15" s="18">
        <f t="shared" si="2"/>
        <v>3451000</v>
      </c>
      <c r="E15" s="23">
        <f t="shared" si="2"/>
        <v>1770.363</v>
      </c>
    </row>
    <row r="16">
      <c r="A16" s="13"/>
      <c r="B16" s="43" t="s">
        <v>20</v>
      </c>
      <c r="C16" s="2"/>
      <c r="D16" s="2"/>
      <c r="E16" s="3"/>
    </row>
    <row r="17">
      <c r="A17" s="13"/>
      <c r="B17" s="14" t="s">
        <v>21</v>
      </c>
      <c r="C17" s="15">
        <v>4.1E7</v>
      </c>
      <c r="D17" s="15">
        <v>4009000.0</v>
      </c>
      <c r="E17" s="21">
        <f t="shared" ref="E17:E21" si="3">(D17*1.2%)*20%*25%</f>
        <v>2405.4</v>
      </c>
    </row>
    <row r="18">
      <c r="A18" s="13"/>
      <c r="B18" s="14"/>
      <c r="C18" s="22"/>
      <c r="D18" s="22"/>
      <c r="E18" s="21">
        <f t="shared" si="3"/>
        <v>0</v>
      </c>
    </row>
    <row r="19">
      <c r="A19" s="13"/>
      <c r="B19" s="14"/>
      <c r="C19" s="22"/>
      <c r="D19" s="22"/>
      <c r="E19" s="21">
        <f t="shared" si="3"/>
        <v>0</v>
      </c>
    </row>
    <row r="20">
      <c r="A20" s="13"/>
      <c r="B20" s="14"/>
      <c r="C20" s="22"/>
      <c r="D20" s="22"/>
      <c r="E20" s="21">
        <f t="shared" si="3"/>
        <v>0</v>
      </c>
    </row>
    <row r="21">
      <c r="A21" s="13"/>
      <c r="B21" s="14"/>
      <c r="C21" s="22"/>
      <c r="D21" s="22"/>
      <c r="E21" s="21">
        <f t="shared" si="3"/>
        <v>0</v>
      </c>
    </row>
    <row r="22">
      <c r="A22" s="13"/>
      <c r="B22" s="24" t="s">
        <v>11</v>
      </c>
      <c r="C22" s="25">
        <f t="shared" ref="C22:E22" si="4">SUM(C17:C21)</f>
        <v>41000000</v>
      </c>
      <c r="D22" s="25">
        <f t="shared" si="4"/>
        <v>4009000</v>
      </c>
      <c r="E22" s="23">
        <f t="shared" si="4"/>
        <v>2405.4</v>
      </c>
    </row>
    <row r="23">
      <c r="A23" s="26"/>
      <c r="B23" s="44" t="s">
        <v>14</v>
      </c>
      <c r="C23" s="2"/>
      <c r="D23" s="3"/>
      <c r="E23" s="28">
        <f>E15+E22</f>
        <v>4175.763</v>
      </c>
    </row>
    <row r="24">
      <c r="A24" s="45" t="s">
        <v>15</v>
      </c>
      <c r="B24" s="30"/>
      <c r="C24" s="30"/>
      <c r="D24" s="30"/>
      <c r="E24" s="31"/>
    </row>
    <row r="25">
      <c r="A25" s="32"/>
      <c r="B25" s="33"/>
      <c r="C25" s="33"/>
      <c r="D25" s="33"/>
      <c r="E25" s="34"/>
    </row>
  </sheetData>
  <mergeCells count="7">
    <mergeCell ref="A1:E1"/>
    <mergeCell ref="B2:E2"/>
    <mergeCell ref="B3:E3"/>
    <mergeCell ref="A5:A23"/>
    <mergeCell ref="B16:E16"/>
    <mergeCell ref="B23:D23"/>
    <mergeCell ref="A24:E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5" t="s">
        <v>0</v>
      </c>
      <c r="B1" s="2"/>
      <c r="C1" s="2"/>
      <c r="D1" s="2"/>
      <c r="E1" s="3"/>
    </row>
    <row r="2">
      <c r="A2" s="5" t="s">
        <v>1</v>
      </c>
      <c r="B2" s="6" t="s">
        <v>24</v>
      </c>
      <c r="C2" s="2"/>
      <c r="D2" s="2"/>
      <c r="E2" s="3"/>
    </row>
    <row r="3">
      <c r="A3" s="5" t="s">
        <v>3</v>
      </c>
      <c r="B3" s="6" t="s">
        <v>41</v>
      </c>
      <c r="C3" s="2"/>
      <c r="D3" s="2"/>
      <c r="E3" s="3"/>
    </row>
    <row r="4">
      <c r="A4" s="38" t="s">
        <v>5</v>
      </c>
      <c r="B4" s="39" t="s">
        <v>6</v>
      </c>
      <c r="C4" s="38" t="s">
        <v>7</v>
      </c>
      <c r="D4" s="38" t="s">
        <v>8</v>
      </c>
      <c r="E4" s="38" t="s">
        <v>9</v>
      </c>
    </row>
    <row r="5">
      <c r="A5" s="9">
        <v>45962.0</v>
      </c>
      <c r="B5" s="10" t="s">
        <v>10</v>
      </c>
      <c r="C5" s="11">
        <v>8500000.0</v>
      </c>
      <c r="D5" s="11">
        <v>3451000.0</v>
      </c>
      <c r="E5" s="40">
        <f t="shared" ref="E5:E14" si="1">(D5*1.2%)*30%*75%*8%</f>
        <v>745.416</v>
      </c>
    </row>
    <row r="6">
      <c r="A6" s="13"/>
      <c r="B6" s="14"/>
      <c r="C6" s="15"/>
      <c r="D6" s="15"/>
      <c r="E6" s="40">
        <f t="shared" si="1"/>
        <v>0</v>
      </c>
    </row>
    <row r="7">
      <c r="A7" s="13"/>
      <c r="B7" s="16"/>
      <c r="C7" s="15"/>
      <c r="D7" s="15"/>
      <c r="E7" s="40">
        <f t="shared" si="1"/>
        <v>0</v>
      </c>
    </row>
    <row r="8">
      <c r="A8" s="13"/>
      <c r="B8" s="16"/>
      <c r="C8" s="15"/>
      <c r="D8" s="15"/>
      <c r="E8" s="40">
        <f t="shared" si="1"/>
        <v>0</v>
      </c>
    </row>
    <row r="9">
      <c r="A9" s="13"/>
      <c r="B9" s="16"/>
      <c r="C9" s="15"/>
      <c r="D9" s="15"/>
      <c r="E9" s="40">
        <f t="shared" si="1"/>
        <v>0</v>
      </c>
    </row>
    <row r="10">
      <c r="A10" s="13"/>
      <c r="B10" s="16"/>
      <c r="C10" s="15"/>
      <c r="D10" s="15"/>
      <c r="E10" s="40">
        <f t="shared" si="1"/>
        <v>0</v>
      </c>
    </row>
    <row r="11">
      <c r="A11" s="13"/>
      <c r="B11" s="16"/>
      <c r="C11" s="15"/>
      <c r="D11" s="15"/>
      <c r="E11" s="40">
        <f t="shared" si="1"/>
        <v>0</v>
      </c>
    </row>
    <row r="12">
      <c r="A12" s="13"/>
      <c r="B12" s="16"/>
      <c r="C12" s="15"/>
      <c r="D12" s="15"/>
      <c r="E12" s="40">
        <f t="shared" si="1"/>
        <v>0</v>
      </c>
    </row>
    <row r="13">
      <c r="A13" s="13"/>
      <c r="B13" s="16"/>
      <c r="C13" s="15"/>
      <c r="D13" s="15"/>
      <c r="E13" s="40">
        <f t="shared" si="1"/>
        <v>0</v>
      </c>
    </row>
    <row r="14">
      <c r="A14" s="13"/>
      <c r="B14" s="16"/>
      <c r="C14" s="15"/>
      <c r="D14" s="15"/>
      <c r="E14" s="40">
        <f t="shared" si="1"/>
        <v>0</v>
      </c>
    </row>
    <row r="15">
      <c r="A15" s="13"/>
      <c r="B15" s="17" t="s">
        <v>11</v>
      </c>
      <c r="C15" s="18">
        <f t="shared" ref="C15:E15" si="2">SUM(C5:C14)</f>
        <v>8500000</v>
      </c>
      <c r="D15" s="18">
        <f t="shared" si="2"/>
        <v>3451000</v>
      </c>
      <c r="E15" s="23">
        <f t="shared" si="2"/>
        <v>745.416</v>
      </c>
    </row>
    <row r="16">
      <c r="A16" s="13"/>
      <c r="B16" s="43" t="s">
        <v>20</v>
      </c>
      <c r="C16" s="2"/>
      <c r="D16" s="2"/>
      <c r="E16" s="3"/>
    </row>
    <row r="17">
      <c r="A17" s="13"/>
      <c r="B17" s="14" t="s">
        <v>21</v>
      </c>
      <c r="C17" s="15">
        <v>4.1E7</v>
      </c>
      <c r="D17" s="15">
        <v>4009000.0</v>
      </c>
      <c r="E17" s="21">
        <f t="shared" ref="E17:E21" si="3">(D17*1.2%)*20%*25%</f>
        <v>2405.4</v>
      </c>
    </row>
    <row r="18">
      <c r="A18" s="13"/>
      <c r="B18" s="14"/>
      <c r="C18" s="22"/>
      <c r="D18" s="22"/>
      <c r="E18" s="21">
        <f t="shared" si="3"/>
        <v>0</v>
      </c>
    </row>
    <row r="19">
      <c r="A19" s="13"/>
      <c r="B19" s="14"/>
      <c r="C19" s="22"/>
      <c r="D19" s="22"/>
      <c r="E19" s="21">
        <f t="shared" si="3"/>
        <v>0</v>
      </c>
    </row>
    <row r="20">
      <c r="A20" s="13"/>
      <c r="B20" s="14"/>
      <c r="C20" s="22"/>
      <c r="D20" s="22"/>
      <c r="E20" s="21">
        <f t="shared" si="3"/>
        <v>0</v>
      </c>
    </row>
    <row r="21">
      <c r="A21" s="13"/>
      <c r="B21" s="14"/>
      <c r="C21" s="22"/>
      <c r="D21" s="22"/>
      <c r="E21" s="21">
        <f t="shared" si="3"/>
        <v>0</v>
      </c>
    </row>
    <row r="22">
      <c r="A22" s="13"/>
      <c r="B22" s="24" t="s">
        <v>11</v>
      </c>
      <c r="C22" s="25">
        <f t="shared" ref="C22:E22" si="4">SUM(C17:C21)</f>
        <v>41000000</v>
      </c>
      <c r="D22" s="25">
        <f t="shared" si="4"/>
        <v>4009000</v>
      </c>
      <c r="E22" s="23">
        <f t="shared" si="4"/>
        <v>2405.4</v>
      </c>
    </row>
    <row r="23">
      <c r="A23" s="26"/>
      <c r="B23" s="44" t="s">
        <v>14</v>
      </c>
      <c r="C23" s="2"/>
      <c r="D23" s="3"/>
      <c r="E23" s="28">
        <f>E15+E22</f>
        <v>3150.816</v>
      </c>
    </row>
    <row r="24">
      <c r="A24" s="45" t="s">
        <v>15</v>
      </c>
      <c r="B24" s="30"/>
      <c r="C24" s="30"/>
      <c r="D24" s="30"/>
      <c r="E24" s="31"/>
    </row>
    <row r="25">
      <c r="A25" s="32"/>
      <c r="B25" s="33"/>
      <c r="C25" s="33"/>
      <c r="D25" s="33"/>
      <c r="E25" s="34"/>
    </row>
  </sheetData>
  <mergeCells count="7">
    <mergeCell ref="A1:E1"/>
    <mergeCell ref="B2:E2"/>
    <mergeCell ref="B3:E3"/>
    <mergeCell ref="A5:A23"/>
    <mergeCell ref="B16:E16"/>
    <mergeCell ref="B23:D23"/>
    <mergeCell ref="A24:E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2026-01-27T13:14:10Z</dcterms:created>
  <dc:creator>Microsoft Office User</dc:creator>
</cp:coreProperties>
</file>